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Abror All Materials\Excel Interview questions scenario based\EXCEL\"/>
    </mc:Choice>
  </mc:AlternateContent>
  <xr:revisionPtr revIDLastSave="0" documentId="13_ncr:1_{9FD66CCC-CD30-4C26-96A3-DE9F74949F04}" xr6:coauthVersionLast="47" xr6:coauthVersionMax="47" xr10:uidLastSave="{00000000-0000-0000-0000-000000000000}"/>
  <bookViews>
    <workbookView xWindow="-108" yWindow="-108" windowWidth="23256" windowHeight="12456" tabRatio="918" activeTab="1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(2)'!$J$3:$K$9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G3" i="6"/>
  <c r="G2" i="6"/>
  <c r="E17" i="3"/>
  <c r="F17" i="3"/>
  <c r="G17" i="3"/>
  <c r="H17" i="3"/>
  <c r="E18" i="3"/>
  <c r="F18" i="3"/>
  <c r="G18" i="3"/>
  <c r="H18" i="3"/>
  <c r="E19" i="3"/>
  <c r="F19" i="3"/>
  <c r="G19" i="3"/>
  <c r="H19" i="3"/>
  <c r="E20" i="3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E24" i="3"/>
  <c r="F24" i="3"/>
  <c r="G24" i="3"/>
  <c r="H24" i="3"/>
  <c r="E25" i="3"/>
  <c r="F25" i="3"/>
  <c r="G25" i="3"/>
  <c r="H25" i="3"/>
  <c r="E26" i="3"/>
  <c r="F26" i="3"/>
  <c r="G26" i="3"/>
  <c r="H26" i="3"/>
  <c r="E27" i="3"/>
  <c r="F27" i="3"/>
  <c r="G27" i="3"/>
  <c r="H27" i="3"/>
  <c r="F16" i="3"/>
  <c r="G16" i="3"/>
  <c r="H16" i="3"/>
  <c r="E16" i="3"/>
  <c r="L25" i="3" a="1"/>
  <c r="L25" i="3" s="1"/>
  <c r="L26" i="3" a="1"/>
  <c r="L26" i="3" s="1"/>
  <c r="L27" i="3" a="1"/>
  <c r="L27" i="3" s="1"/>
  <c r="L28" i="3" a="1"/>
  <c r="L28" i="3" s="1"/>
  <c r="L18" i="3" a="1"/>
  <c r="L18" i="3" s="1"/>
  <c r="L19" i="3" a="1"/>
  <c r="L19" i="3" s="1"/>
  <c r="L20" i="3" a="1"/>
  <c r="L20" i="3" s="1"/>
  <c r="L21" i="3" a="1"/>
  <c r="L21" i="3" s="1"/>
  <c r="L22" i="3" a="1"/>
  <c r="L22" i="3" s="1"/>
  <c r="L23" i="3" a="1"/>
  <c r="L23" i="3" s="1"/>
  <c r="L24" i="3" a="1"/>
  <c r="L24" i="3" s="1"/>
  <c r="L17" i="3" a="1"/>
  <c r="L17" i="3" s="1"/>
  <c r="F2" i="6"/>
  <c r="F3" i="6"/>
  <c r="F4" i="6"/>
  <c r="F5" i="6"/>
  <c r="F6" i="6"/>
  <c r="F7" i="6"/>
  <c r="F8" i="6"/>
  <c r="F9" i="6"/>
  <c r="F10" i="6"/>
  <c r="F11" i="6"/>
  <c r="F12" i="6"/>
  <c r="F13" i="6"/>
  <c r="H11" i="2"/>
  <c r="H12" i="2"/>
  <c r="H13" i="2"/>
  <c r="H10" i="2"/>
  <c r="H3" i="2"/>
  <c r="S5" i="3"/>
  <c r="G8" i="3"/>
  <c r="S6" i="3"/>
  <c r="S7" i="3"/>
  <c r="S8" i="3"/>
  <c r="S9" i="3"/>
  <c r="S10" i="3"/>
  <c r="S11" i="3"/>
  <c r="S12" i="3"/>
  <c r="S13" i="3"/>
  <c r="S14" i="3"/>
  <c r="C14" i="5"/>
  <c r="I4" i="3"/>
  <c r="I5" i="3"/>
  <c r="H4" i="2" l="1"/>
  <c r="H5" i="2"/>
  <c r="H6" i="2"/>
  <c r="B17" i="2"/>
  <c r="D16" i="2"/>
  <c r="J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<sst xmlns="http://schemas.openxmlformats.org/spreadsheetml/2006/main" count="258" uniqueCount="122">
  <si>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</si>
  <si>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</si>
  <si>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</si>
  <si>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</si>
  <si>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</si>
  <si>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</si>
  <si>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</si>
  <si>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</si>
  <si>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</si>
  <si>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</si>
  <si>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</si>
  <si>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</si>
  <si>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</si>
  <si>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</si>
  <si>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</si>
  <si>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</si>
  <si>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</si>
  <si>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</si>
  <si>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</si>
  <si>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</si>
  <si>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</si>
  <si>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</si>
  <si>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</si>
  <si>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</si>
  <si>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</si>
  <si>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</si>
  <si>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</si>
  <si>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</si>
  <si>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</si>
  <si>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</si>
  <si>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</si>
  <si>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</si>
  <si>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</si>
  <si>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</si>
  <si>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</si>
  <si>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</si>
  <si>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</si>
  <si>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</si>
  <si>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</si>
  <si>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</si>
  <si>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</si>
  <si>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</si>
  <si>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</si>
  <si>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</si>
  <si>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</si>
  <si>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</si>
  <si>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</si>
  <si>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</si>
  <si>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</si>
  <si>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</si>
  <si>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</si>
  <si>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</si>
  <si>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</si>
  <si>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</si>
  <si>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</si>
  <si>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</si>
  <si>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</si>
  <si>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</si>
  <si>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</si>
  <si>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</si>
  <si>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</si>
  <si>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</si>
  <si>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</si>
  <si>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</si>
  <si>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</si>
  <si>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</si>
  <si>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</si>
  <si>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</si>
  <si>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</si>
  <si>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</si>
  <si>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</si>
  <si>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</si>
  <si>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</si>
  <si>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</si>
  <si>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</si>
  <si>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</si>
  <si>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</si>
  <si>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</si>
  <si>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</si>
  <si>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</si>
  <si>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</si>
  <si>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</si>
  <si>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</si>
  <si>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</si>
  <si>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</si>
  <si>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</si>
  <si>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</si>
  <si>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</si>
  <si>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</si>
  <si>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</si>
  <si>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</si>
  <si>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</si>
  <si>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</si>
  <si>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</si>
  <si>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</si>
  <si>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</si>
  <si>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</si>
  <si>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</si>
  <si>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</si>
  <si>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</si>
  <si>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</si>
  <si>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</si>
  <si>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</si>
  <si>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</si>
  <si>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</si>
  <si>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</si>
  <si>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</si>
  <si>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</si>
  <si>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</si>
  <si>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</si>
  <si>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</si>
  <si>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</si>
  <si>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</si>
  <si>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emp005</t>
  </si>
  <si>
    <t>emp_type</t>
  </si>
  <si>
    <t>Greater than</t>
  </si>
  <si>
    <t>Xlookup &amp; index function</t>
  </si>
  <si>
    <t>sub1</t>
  </si>
  <si>
    <t>sub2</t>
  </si>
  <si>
    <t>sub3</t>
  </si>
  <si>
    <t>Total</t>
  </si>
  <si>
    <t>emp001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</si>
</sst>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2" xfId="0" applyBorder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0D5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J17"/>
  <sheetViews>
    <sheetView zoomScale="145" zoomScaleNormal="145" workbookViewId="0">
      <selection activeCell="I13" sqref="I13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7" max="7" width="12.77734375" customWidth="1"/>
    <col min="8" max="8" width="14.44140625" customWidth="1"/>
  </cols>
  <sheetData>
    <row r="1" spans="1:10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10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G2" s="6" t="s">
        <v>30</v>
      </c>
      <c r="H2" t="s">
        <v>113</v>
      </c>
    </row>
    <row r="3" spans="1:10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G3" s="6" t="s">
        <v>29</v>
      </c>
      <c r="H3" t="str">
        <f>VLOOKUP($H$2,$A$1:$E$13,ROW()-1,0)</f>
        <v>Employee_5</v>
      </c>
      <c r="J3">
        <f>ROW()</f>
        <v>3</v>
      </c>
    </row>
    <row r="4" spans="1:10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G4" s="6" t="s">
        <v>28</v>
      </c>
      <c r="H4" t="str">
        <f>VLOOKUP($H$2,$A$1:$E$13,ROW()-1,0)</f>
        <v>Operations</v>
      </c>
    </row>
    <row r="5" spans="1:10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G5" s="5" t="s">
        <v>27</v>
      </c>
      <c r="H5">
        <f t="shared" ref="H5:H6" si="0">VLOOKUP($H$2,$A$1:$E$13,ROW()-1,0)</f>
        <v>90652</v>
      </c>
    </row>
    <row r="6" spans="1:10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G6" s="4" t="s">
        <v>26</v>
      </c>
      <c r="H6" s="8">
        <f t="shared" si="0"/>
        <v>43835</v>
      </c>
    </row>
    <row r="7" spans="1:10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10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10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G9" s="6" t="s">
        <v>30</v>
      </c>
      <c r="H9" t="s">
        <v>121</v>
      </c>
    </row>
    <row r="10" spans="1:10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G10" s="6" t="s">
        <v>29</v>
      </c>
      <c r="H10" t="str">
        <f>VLOOKUP($H$9,$A$2:$E$13,ROW()-8,0)</f>
        <v>Employee_1</v>
      </c>
    </row>
    <row r="11" spans="1:10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G11" s="6" t="s">
        <v>28</v>
      </c>
      <c r="H11" t="str">
        <f t="shared" ref="H11:H13" si="1">VLOOKUP($H$9,$A$2:$E$13,ROW()-8,0)</f>
        <v>Finance</v>
      </c>
    </row>
    <row r="12" spans="1:10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G12" s="5" t="s">
        <v>27</v>
      </c>
      <c r="H12">
        <f t="shared" si="1"/>
        <v>41954</v>
      </c>
    </row>
    <row r="13" spans="1:10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G13" s="4" t="s">
        <v>26</v>
      </c>
      <c r="H13" s="8">
        <f t="shared" si="1"/>
        <v>43831</v>
      </c>
    </row>
    <row r="16" spans="1:10" x14ac:dyDescent="0.3">
      <c r="D16">
        <f>ROW()</f>
        <v>16</v>
      </c>
    </row>
    <row r="17" spans="2:2" x14ac:dyDescent="0.3">
      <c r="B17">
        <f>ROW()</f>
        <v>17</v>
      </c>
    </row>
  </sheetData>
  <conditionalFormatting sqref="A2:E13">
    <cfRule type="expression" dxfId="3" priority="1">
      <formula>AND($D2&gt;=50000,$D2&lt;80000)</formula>
    </cfRule>
    <cfRule type="expression" dxfId="2" priority="2">
      <formula>$D1&gt;90000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K13"/>
  <sheetViews>
    <sheetView tabSelected="1" zoomScale="145" zoomScaleNormal="145" workbookViewId="0">
      <selection activeCell="H2" sqref="H2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15.77734375" customWidth="1"/>
    <col min="7" max="7" width="27.44140625" customWidth="1"/>
    <col min="8" max="8" width="12.109375" bestFit="1" customWidth="1"/>
    <col min="9" max="9" width="11.109375" customWidth="1"/>
  </cols>
  <sheetData>
    <row r="1" spans="1:11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10" t="s">
        <v>114</v>
      </c>
    </row>
    <row r="2" spans="1:11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 t="shared" ref="F2:F13" si="0">VLOOKUP(D2,Emp_Type,2,1)</f>
        <v>Grade5</v>
      </c>
      <c r="G2">
        <f>LARGE(D2:D13,1)</f>
        <v>96371</v>
      </c>
      <c r="H2" t="str">
        <f>_xlfn.XLOOKUP($G2,$D$2:$D$13,$B$2:$B$13)</f>
        <v>Employee_11</v>
      </c>
      <c r="J2" t="s">
        <v>115</v>
      </c>
    </row>
    <row r="3" spans="1:11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 t="shared" si="0"/>
        <v>Grade4</v>
      </c>
      <c r="G3">
        <f>SMALL($D$2:$D$13,1)</f>
        <v>30924</v>
      </c>
      <c r="H3" t="str">
        <f t="shared" ref="H3:H13" si="1">_xlfn.XLOOKUP($G3,$D$2:$D$13,$B$2:$B$13)</f>
        <v>Employee_8</v>
      </c>
      <c r="J3" t="s">
        <v>27</v>
      </c>
      <c r="K3" t="s">
        <v>112</v>
      </c>
    </row>
    <row r="4" spans="1:11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 t="shared" si="0"/>
        <v>Grade1</v>
      </c>
      <c r="J4">
        <v>15000</v>
      </c>
      <c r="K4" t="s">
        <v>106</v>
      </c>
    </row>
    <row r="5" spans="1:11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 t="shared" si="0"/>
        <v>Grade3</v>
      </c>
      <c r="J5">
        <v>30000</v>
      </c>
      <c r="K5" t="s">
        <v>107</v>
      </c>
    </row>
    <row r="6" spans="1:11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 t="shared" si="0"/>
        <v>Grade1</v>
      </c>
      <c r="J6">
        <v>45000</v>
      </c>
      <c r="K6" t="s">
        <v>108</v>
      </c>
    </row>
    <row r="7" spans="1:11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 t="shared" si="0"/>
        <v>Grade3</v>
      </c>
      <c r="J7">
        <v>60000</v>
      </c>
      <c r="K7" t="s">
        <v>109</v>
      </c>
    </row>
    <row r="8" spans="1:11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 t="shared" si="0"/>
        <v>Grade2</v>
      </c>
      <c r="J8">
        <v>75000</v>
      </c>
      <c r="K8" t="s">
        <v>110</v>
      </c>
    </row>
    <row r="9" spans="1:11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 t="shared" si="0"/>
        <v>Grade5</v>
      </c>
      <c r="J9">
        <v>90000</v>
      </c>
      <c r="K9" t="s">
        <v>111</v>
      </c>
    </row>
    <row r="10" spans="1:11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 t="shared" si="0"/>
        <v>Grade4</v>
      </c>
    </row>
    <row r="11" spans="1:11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 t="shared" si="0"/>
        <v>Grade5</v>
      </c>
    </row>
    <row r="12" spans="1:11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 t="shared" si="0"/>
        <v>Grade1</v>
      </c>
    </row>
    <row r="13" spans="1:11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 t="shared" si="0"/>
        <v>Grade2</v>
      </c>
    </row>
  </sheetData>
  <sortState xmlns:xlrd2="http://schemas.microsoft.com/office/spreadsheetml/2017/richdata2" ref="J4:K9">
    <sortCondition ref="J4:J9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S28"/>
  <sheetViews>
    <sheetView zoomScaleNormal="100" workbookViewId="0">
      <selection activeCell="E16" sqref="E16:H27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7" width="11" bestFit="1" customWidth="1"/>
    <col min="8" max="8" width="17.109375" customWidth="1"/>
    <col min="9" max="9" width="16.6640625" customWidth="1"/>
    <col min="12" max="12" width="20.5546875" bestFit="1" customWidth="1"/>
    <col min="13" max="13" width="11.5546875" bestFit="1" customWidth="1"/>
    <col min="14" max="14" width="11" bestFit="1" customWidth="1"/>
    <col min="15" max="15" width="6.88671875" bestFit="1" customWidth="1"/>
    <col min="16" max="16" width="10.88671875" bestFit="1" customWidth="1"/>
  </cols>
  <sheetData>
    <row r="1" spans="1:1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1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s="13" t="s">
        <v>3</v>
      </c>
    </row>
    <row r="3" spans="1:1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25</v>
      </c>
    </row>
    <row r="4" spans="1:1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29</v>
      </c>
      <c r="I4" t="str">
        <f>VLOOKUP($I$3,$A$1:$E$13,MATCH(H4,$A$1:$E$1,0),0)</f>
        <v>Employee_1</v>
      </c>
      <c r="P4" t="s">
        <v>117</v>
      </c>
      <c r="Q4" t="s">
        <v>118</v>
      </c>
      <c r="R4" t="s">
        <v>119</v>
      </c>
      <c r="S4" t="s">
        <v>120</v>
      </c>
    </row>
    <row r="5" spans="1:1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28</v>
      </c>
      <c r="I5" t="str">
        <f>VLOOKUP($I$3,$A$1:$E$13,MATCH(H5,$A$1:$E$1,0),0)</f>
        <v>Finance</v>
      </c>
      <c r="P5">
        <v>88</v>
      </c>
      <c r="Q5">
        <v>20</v>
      </c>
      <c r="R5">
        <v>84</v>
      </c>
      <c r="S5">
        <f>SUM(P5:R5)</f>
        <v>192</v>
      </c>
    </row>
    <row r="6" spans="1:1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P6">
        <v>65</v>
      </c>
      <c r="Q6">
        <v>22</v>
      </c>
      <c r="R6">
        <v>40</v>
      </c>
      <c r="S6">
        <f t="shared" ref="S6:S14" si="0">SUM(P6:R6)</f>
        <v>127</v>
      </c>
    </row>
    <row r="7" spans="1:1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P7">
        <v>52</v>
      </c>
      <c r="Q7">
        <v>54</v>
      </c>
      <c r="R7">
        <v>27</v>
      </c>
      <c r="S7">
        <f t="shared" si="0"/>
        <v>133</v>
      </c>
    </row>
    <row r="8" spans="1:1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G8">
        <f>MATCH(H4,A1:E1,0)</f>
        <v>2</v>
      </c>
      <c r="P8">
        <v>34</v>
      </c>
      <c r="Q8">
        <v>99</v>
      </c>
      <c r="R8">
        <v>68</v>
      </c>
      <c r="S8">
        <f t="shared" si="0"/>
        <v>201</v>
      </c>
    </row>
    <row r="9" spans="1:1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P9">
        <v>70</v>
      </c>
      <c r="Q9">
        <v>20</v>
      </c>
      <c r="R9">
        <v>19</v>
      </c>
      <c r="S9">
        <f t="shared" si="0"/>
        <v>109</v>
      </c>
    </row>
    <row r="10" spans="1:1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P10">
        <v>1</v>
      </c>
      <c r="Q10">
        <v>7</v>
      </c>
      <c r="R10">
        <v>70</v>
      </c>
      <c r="S10">
        <f t="shared" si="0"/>
        <v>78</v>
      </c>
    </row>
    <row r="11" spans="1:1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P11">
        <v>39</v>
      </c>
      <c r="Q11">
        <v>74</v>
      </c>
      <c r="R11">
        <v>73</v>
      </c>
      <c r="S11">
        <f t="shared" si="0"/>
        <v>186</v>
      </c>
    </row>
    <row r="12" spans="1:1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P12">
        <v>90</v>
      </c>
      <c r="Q12">
        <v>51</v>
      </c>
      <c r="R12">
        <v>38</v>
      </c>
      <c r="S12">
        <f t="shared" si="0"/>
        <v>179</v>
      </c>
    </row>
    <row r="13" spans="1:1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P13">
        <v>36</v>
      </c>
      <c r="Q13">
        <v>50</v>
      </c>
      <c r="R13">
        <v>10</v>
      </c>
      <c r="S13">
        <f t="shared" si="0"/>
        <v>96</v>
      </c>
    </row>
    <row r="14" spans="1:19" x14ac:dyDescent="0.3">
      <c r="P14">
        <v>79</v>
      </c>
      <c r="Q14">
        <v>78</v>
      </c>
      <c r="R14">
        <v>82</v>
      </c>
      <c r="S14">
        <f t="shared" si="0"/>
        <v>239</v>
      </c>
    </row>
    <row r="15" spans="1:19" x14ac:dyDescent="0.3">
      <c r="E15" s="6" t="s">
        <v>30</v>
      </c>
      <c r="F15" s="6" t="s">
        <v>29</v>
      </c>
      <c r="G15" s="6" t="s">
        <v>28</v>
      </c>
      <c r="H15" s="5" t="s">
        <v>27</v>
      </c>
      <c r="I15" s="4" t="s">
        <v>26</v>
      </c>
      <c r="L15" t="s">
        <v>116</v>
      </c>
    </row>
    <row r="16" spans="1:19" x14ac:dyDescent="0.3">
      <c r="E16" s="12" t="str">
        <f>INDEX($A$2:$D$13,MATCH($I16,$E$2:$E$13,0),MATCH(E$15,$A$1:$D$1,0))</f>
        <v>EMP001</v>
      </c>
      <c r="F16" s="12" t="str">
        <f t="shared" ref="F16:H27" si="1">INDEX($A$2:$D$13,MATCH($I16,$E$2:$E$13,0),MATCH(F$15,$A$1:$D$1,0))</f>
        <v>Employee_1</v>
      </c>
      <c r="G16" s="12" t="str">
        <f t="shared" si="1"/>
        <v>Finance</v>
      </c>
      <c r="H16" s="12">
        <f t="shared" si="1"/>
        <v>41954</v>
      </c>
      <c r="I16" s="1">
        <v>43831</v>
      </c>
      <c r="L16" s="6" t="s">
        <v>30</v>
      </c>
      <c r="M16" s="6" t="s">
        <v>29</v>
      </c>
      <c r="N16" s="6" t="s">
        <v>28</v>
      </c>
      <c r="O16" s="5" t="s">
        <v>27</v>
      </c>
      <c r="P16" s="4" t="s">
        <v>26</v>
      </c>
    </row>
    <row r="17" spans="5:16" x14ac:dyDescent="0.3">
      <c r="E17" s="12" t="str">
        <f t="shared" ref="E17:E27" si="2">INDEX($A$2:$D$13,MATCH($I17,$E$2:$E$13,0),MATCH(E$15,$A$1:$D$1,0))</f>
        <v>EMP002</v>
      </c>
      <c r="F17" s="12" t="str">
        <f t="shared" si="1"/>
        <v>Employee_2</v>
      </c>
      <c r="G17" s="12" t="str">
        <f t="shared" si="1"/>
        <v>Operations</v>
      </c>
      <c r="H17" s="12">
        <f t="shared" si="1"/>
        <v>49855</v>
      </c>
      <c r="I17" s="1">
        <v>43832</v>
      </c>
      <c r="L17" t="str" cm="1">
        <f t="array" ref="L17:O17">_xlfn.XLOOKUP($P17,$E$2:$E$13,$A$2:$D$13)</f>
        <v>EMP001</v>
      </c>
      <c r="M17" t="str">
        <v>Employee_1</v>
      </c>
      <c r="N17" t="str">
        <v>Finance</v>
      </c>
      <c r="O17">
        <v>41954</v>
      </c>
      <c r="P17" s="1">
        <v>43831</v>
      </c>
    </row>
    <row r="18" spans="5:16" x14ac:dyDescent="0.3">
      <c r="E18" s="12" t="str">
        <f t="shared" si="2"/>
        <v>EMP003</v>
      </c>
      <c r="F18" s="12" t="str">
        <f t="shared" si="1"/>
        <v>Employee_3</v>
      </c>
      <c r="G18" s="12" t="str">
        <f t="shared" si="1"/>
        <v>Sales</v>
      </c>
      <c r="H18" s="12">
        <f t="shared" si="1"/>
        <v>94210</v>
      </c>
      <c r="I18" s="1">
        <v>43833</v>
      </c>
      <c r="L18" t="str" cm="1">
        <f t="array" ref="L18:O18">_xlfn.XLOOKUP($P18,$E$2:$E$13,$A$2:$D$13)</f>
        <v>EMP002</v>
      </c>
      <c r="M18" t="str">
        <v>Employee_2</v>
      </c>
      <c r="N18" t="str">
        <v>Operations</v>
      </c>
      <c r="O18">
        <v>49855</v>
      </c>
      <c r="P18" s="1">
        <v>43832</v>
      </c>
    </row>
    <row r="19" spans="5:16" x14ac:dyDescent="0.3">
      <c r="E19" s="12" t="str">
        <f t="shared" si="2"/>
        <v>EMP004</v>
      </c>
      <c r="F19" s="12" t="str">
        <f t="shared" si="1"/>
        <v>Employee_4</v>
      </c>
      <c r="G19" s="12" t="str">
        <f t="shared" si="1"/>
        <v>Finance</v>
      </c>
      <c r="H19" s="12">
        <f t="shared" si="1"/>
        <v>74689</v>
      </c>
      <c r="I19" s="1">
        <v>43834</v>
      </c>
      <c r="L19" t="str" cm="1">
        <f t="array" ref="L19:O19">_xlfn.XLOOKUP($P19,$E$2:$E$13,$A$2:$D$13)</f>
        <v>EMP003</v>
      </c>
      <c r="M19" t="str">
        <v>Employee_3</v>
      </c>
      <c r="N19" t="str">
        <v>Sales</v>
      </c>
      <c r="O19">
        <v>94210</v>
      </c>
      <c r="P19" s="1">
        <v>43833</v>
      </c>
    </row>
    <row r="20" spans="5:16" x14ac:dyDescent="0.3">
      <c r="E20" s="12" t="str">
        <f t="shared" si="2"/>
        <v>EMP005</v>
      </c>
      <c r="F20" s="12" t="str">
        <f t="shared" si="1"/>
        <v>Employee_5</v>
      </c>
      <c r="G20" s="12" t="str">
        <f t="shared" si="1"/>
        <v>Operations</v>
      </c>
      <c r="H20" s="12">
        <f t="shared" si="1"/>
        <v>90652</v>
      </c>
      <c r="I20" s="1">
        <v>43835</v>
      </c>
      <c r="L20" t="str" cm="1">
        <f t="array" ref="L20:O20">_xlfn.XLOOKUP($P20,$E$2:$E$13,$A$2:$D$13)</f>
        <v>EMP004</v>
      </c>
      <c r="M20" t="str">
        <v>Employee_4</v>
      </c>
      <c r="N20" t="str">
        <v>Finance</v>
      </c>
      <c r="O20">
        <v>74689</v>
      </c>
      <c r="P20" s="1">
        <v>43834</v>
      </c>
    </row>
    <row r="21" spans="5:16" x14ac:dyDescent="0.3">
      <c r="E21" s="12" t="str">
        <f t="shared" si="2"/>
        <v>EMP006</v>
      </c>
      <c r="F21" s="12" t="str">
        <f t="shared" si="1"/>
        <v>Employee_3</v>
      </c>
      <c r="G21" s="12" t="str">
        <f t="shared" si="1"/>
        <v>Operations</v>
      </c>
      <c r="H21" s="12">
        <f t="shared" si="1"/>
        <v>74820</v>
      </c>
      <c r="I21" s="1">
        <v>43836</v>
      </c>
      <c r="L21" t="str" cm="1">
        <f t="array" ref="L21:O21">_xlfn.XLOOKUP($P21,$E$2:$E$13,$A$2:$D$13)</f>
        <v>EMP005</v>
      </c>
      <c r="M21" t="str">
        <v>Employee_5</v>
      </c>
      <c r="N21" t="str">
        <v>Operations</v>
      </c>
      <c r="O21">
        <v>90652</v>
      </c>
      <c r="P21" s="1">
        <v>43835</v>
      </c>
    </row>
    <row r="22" spans="5:16" x14ac:dyDescent="0.3">
      <c r="E22" s="12" t="str">
        <f t="shared" si="2"/>
        <v>EMP007</v>
      </c>
      <c r="F22" s="12" t="str">
        <f t="shared" si="1"/>
        <v>Employee_7</v>
      </c>
      <c r="G22" s="12" t="str">
        <f t="shared" si="1"/>
        <v>Sales</v>
      </c>
      <c r="H22" s="12">
        <f t="shared" si="1"/>
        <v>85206</v>
      </c>
      <c r="I22" s="1">
        <v>43837</v>
      </c>
      <c r="L22" t="str" cm="1">
        <f t="array" ref="L22:O22">_xlfn.XLOOKUP($P22,$E$2:$E$13,$A$2:$D$13)</f>
        <v>EMP006</v>
      </c>
      <c r="M22" t="str">
        <v>Employee_3</v>
      </c>
      <c r="N22" t="str">
        <v>Operations</v>
      </c>
      <c r="O22">
        <v>74820</v>
      </c>
      <c r="P22" s="1">
        <v>43836</v>
      </c>
    </row>
    <row r="23" spans="5:16" x14ac:dyDescent="0.3">
      <c r="E23" s="12" t="str">
        <f t="shared" si="2"/>
        <v>EMP008</v>
      </c>
      <c r="F23" s="12" t="str">
        <f t="shared" si="1"/>
        <v>Employee_8</v>
      </c>
      <c r="G23" s="12" t="str">
        <f t="shared" si="1"/>
        <v>Finance</v>
      </c>
      <c r="H23" s="12">
        <f t="shared" si="1"/>
        <v>30924</v>
      </c>
      <c r="I23" s="1">
        <v>43838</v>
      </c>
      <c r="L23" t="str" cm="1">
        <f t="array" ref="L23:O23">_xlfn.XLOOKUP($P23,$E$2:$E$13,$A$2:$D$13)</f>
        <v>EMP007</v>
      </c>
      <c r="M23" t="str">
        <v>Employee_7</v>
      </c>
      <c r="N23" t="str">
        <v>Sales</v>
      </c>
      <c r="O23">
        <v>85206</v>
      </c>
      <c r="P23" s="1">
        <v>43837</v>
      </c>
    </row>
    <row r="24" spans="5:16" x14ac:dyDescent="0.3">
      <c r="E24" s="12" t="str">
        <f t="shared" si="2"/>
        <v>EMP009</v>
      </c>
      <c r="F24" s="12" t="str">
        <f t="shared" si="1"/>
        <v>Employee_9</v>
      </c>
      <c r="G24" s="12" t="str">
        <f t="shared" si="1"/>
        <v>Operations</v>
      </c>
      <c r="H24" s="12">
        <f t="shared" si="1"/>
        <v>57737</v>
      </c>
      <c r="I24" s="1">
        <v>43839</v>
      </c>
      <c r="L24" t="str" cm="1">
        <f t="array" ref="L24:O24">_xlfn.XLOOKUP($P24,$E$2:$E$13,$A$2:$D$13)</f>
        <v>EMP008</v>
      </c>
      <c r="M24" t="str">
        <v>Employee_8</v>
      </c>
      <c r="N24" t="str">
        <v>Finance</v>
      </c>
      <c r="O24">
        <v>30924</v>
      </c>
      <c r="P24" s="1">
        <v>43838</v>
      </c>
    </row>
    <row r="25" spans="5:16" x14ac:dyDescent="0.3">
      <c r="E25" s="12" t="str">
        <f t="shared" si="2"/>
        <v>EMP010</v>
      </c>
      <c r="F25" s="12" t="str">
        <f t="shared" si="1"/>
        <v>Employee_10</v>
      </c>
      <c r="G25" s="12" t="str">
        <f t="shared" si="1"/>
        <v>Sales</v>
      </c>
      <c r="H25" s="12">
        <f t="shared" si="1"/>
        <v>36000</v>
      </c>
      <c r="I25" s="1">
        <v>43840</v>
      </c>
      <c r="L25" t="str" cm="1">
        <f t="array" ref="L25:O25">_xlfn.XLOOKUP($P25,$E$2:$E$13,$A$2:$D$13)</f>
        <v>EMP009</v>
      </c>
      <c r="M25" t="str">
        <v>Employee_9</v>
      </c>
      <c r="N25" t="str">
        <v>Operations</v>
      </c>
      <c r="O25">
        <v>57737</v>
      </c>
      <c r="P25" s="1">
        <v>43839</v>
      </c>
    </row>
    <row r="26" spans="5:16" x14ac:dyDescent="0.3">
      <c r="E26" s="12" t="str">
        <f t="shared" si="2"/>
        <v>EMP011</v>
      </c>
      <c r="F26" s="12" t="str">
        <f t="shared" si="1"/>
        <v>Employee_11</v>
      </c>
      <c r="G26" s="12" t="str">
        <f t="shared" si="1"/>
        <v>Sales</v>
      </c>
      <c r="H26" s="12">
        <f t="shared" si="1"/>
        <v>96371</v>
      </c>
      <c r="I26" s="1">
        <v>43841</v>
      </c>
      <c r="L26" t="str" cm="1">
        <f t="array" ref="L26:O26">_xlfn.XLOOKUP($P26,$E$2:$E$13,$A$2:$D$13)</f>
        <v>EMP010</v>
      </c>
      <c r="M26" t="str">
        <v>Employee_10</v>
      </c>
      <c r="N26" t="str">
        <v>Sales</v>
      </c>
      <c r="O26">
        <v>36000</v>
      </c>
      <c r="P26" s="1">
        <v>43840</v>
      </c>
    </row>
    <row r="27" spans="5:16" x14ac:dyDescent="0.3">
      <c r="E27" s="12" t="str">
        <f t="shared" si="2"/>
        <v>EMP012</v>
      </c>
      <c r="F27" s="12" t="str">
        <f t="shared" si="1"/>
        <v>Employee_12</v>
      </c>
      <c r="G27" s="12" t="str">
        <f t="shared" si="1"/>
        <v>Operations</v>
      </c>
      <c r="H27" s="12">
        <f t="shared" si="1"/>
        <v>85028</v>
      </c>
      <c r="I27" s="1">
        <v>43842</v>
      </c>
      <c r="L27" t="str" cm="1">
        <f t="array" ref="L27:O27">_xlfn.XLOOKUP($P27,$E$2:$E$13,$A$2:$D$13)</f>
        <v>EMP011</v>
      </c>
      <c r="M27" t="str">
        <v>Employee_11</v>
      </c>
      <c r="N27" t="str">
        <v>Sales</v>
      </c>
      <c r="O27">
        <v>96371</v>
      </c>
      <c r="P27" s="1">
        <v>43841</v>
      </c>
    </row>
    <row r="28" spans="5:16" x14ac:dyDescent="0.3">
      <c r="L28" t="str" cm="1">
        <f t="array" ref="L28:O28">_xlfn.XLOOKUP($P28,$E$2:$E$13,$A$2:$D$13)</f>
        <v>EMP012</v>
      </c>
      <c r="M28" t="str">
        <v>Employee_12</v>
      </c>
      <c r="N28" t="str">
        <v>Operations</v>
      </c>
      <c r="O28">
        <v>85028</v>
      </c>
      <c r="P28" s="1">
        <v>43842</v>
      </c>
    </row>
  </sheetData>
  <conditionalFormatting sqref="F2 A2:E13">
    <cfRule type="expression" dxfId="0" priority="1">
      <formula>$C2=$F$2</formula>
    </cfRule>
  </conditionalFormatting>
  <dataValidations count="2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zoomScale="115" zoomScaleNormal="115" workbookViewId="0">
      <selection activeCell="B14" sqref="B14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 x14ac:dyDescent="0.3">
      <c r="B13" s="7" t="s">
        <v>105</v>
      </c>
      <c r="C13" t="s">
        <v>101</v>
      </c>
    </row>
    <row r="14" spans="1:10" ht="21.6" customHeight="1" x14ac:dyDescent="0.3">
      <c r="B14" s="11" t="s">
        <v>95</v>
      </c>
      <c r="C14" t="str">
        <f>INDEX(A1:J9,MATCH(B14,A1:A9,0),MATCH(C13,A1:J1,0))</f>
        <v>Mathematics (Mr. Brown)</v>
      </c>
    </row>
    <row r="17" spans="3:3" x14ac:dyDescent="0.3">
      <c r="C17" s="9"/>
    </row>
    <row r="18" spans="3:3" x14ac:dyDescent="0.3">
      <c r="C18" s="9"/>
    </row>
  </sheetData>
  <dataValidations count="2">
    <dataValidation type="list" allowBlank="1" showInputMessage="1" showErrorMessage="1" sqref="B14" xr:uid="{AD19EDD1-C0BC-4F0A-998B-8C06FBC19C16}">
      <formula1>$A$1:$A$9</formula1>
    </dataValidation>
    <dataValidation type="list" allowBlank="1" showInputMessage="1" showErrorMessage="1" sqref="C13" xr:uid="{D2DE6239-8498-44CE-AC7C-07EC22542623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Siddharth Vadgaonkar</cp:lastModifiedBy>
  <dcterms:created xsi:type="dcterms:W3CDTF">2024-12-17T10:15:43Z</dcterms:created>
  <dcterms:modified xsi:type="dcterms:W3CDTF">2026-04-01T05:30:17Z</dcterms:modified>
</cp:coreProperties>
</file>