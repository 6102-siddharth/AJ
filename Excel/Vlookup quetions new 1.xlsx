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75A5C36F-9982-4355-9628-ECCF9608B345}" xr6:coauthVersionLast="47" xr6:coauthVersionMax="47" xr10:uidLastSave="{00000000-0000-0000-0000-000000000000}"/>
  <bookViews>
    <workbookView xWindow="-108" yWindow="-108" windowWidth="23256" windowHeight="12456" activeTab="3" xr2:uid="{3E9A778E-4FE8-40FF-9378-4EF33D5E7F57}"/>
  </bookViews>
  <sheets>
    <sheet name="Data1" sheetId="1" r:id="rId1"/>
    <sheet name="Quetions on Data 1" sheetId="5" r:id="rId2"/>
    <sheet name="Data2" sheetId="2" r:id="rId3"/>
    <sheet name="Quetions on Data 2" sheetId="6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7" i="5" l="1"/>
  <c r="M27" i="5"/>
  <c r="M24" i="5"/>
  <c r="M21" i="5"/>
  <c r="M18" i="5"/>
  <c r="N15" i="5"/>
  <c r="M15" i="5"/>
  <c r="M12" i="5"/>
  <c r="M9" i="5"/>
  <c r="M6" i="5"/>
  <c r="N3" i="5"/>
  <c r="M3" i="5"/>
</calcChain>
</file>

<file path=xl/sharedStrings.xml><?xml version="1.0" encoding="utf-8"?>
<sst xmlns="http://schemas.openxmlformats.org/spreadsheetml/2006/main" count="756" uniqueCount="217">
  <si>
    <t>EmployeeID</t>
  </si>
  <si>
    <t>FirstName</t>
  </si>
  <si>
    <t>LastName</t>
  </si>
  <si>
    <t>Gender</t>
  </si>
  <si>
    <t>Age</t>
  </si>
  <si>
    <t>Department</t>
  </si>
  <si>
    <t>Designation</t>
  </si>
  <si>
    <t>Salary</t>
  </si>
  <si>
    <t>HireDate</t>
  </si>
  <si>
    <t>Email</t>
  </si>
  <si>
    <t>City</t>
  </si>
  <si>
    <t>ExperienceYears</t>
  </si>
  <si>
    <t>EmploymentType</t>
  </si>
  <si>
    <t>PerformanceRating</t>
  </si>
  <si>
    <t>Status</t>
  </si>
  <si>
    <t>Rahul</t>
  </si>
  <si>
    <t>Reddy</t>
  </si>
  <si>
    <t>Female</t>
  </si>
  <si>
    <t>Sales</t>
  </si>
  <si>
    <t>Lead</t>
  </si>
  <si>
    <t>rahul.reddy1@company.com</t>
  </si>
  <si>
    <t>Pune</t>
  </si>
  <si>
    <t>Full-Time</t>
  </si>
  <si>
    <t>On Leave</t>
  </si>
  <si>
    <t>Arjun</t>
  </si>
  <si>
    <t>Khan</t>
  </si>
  <si>
    <t>Finance</t>
  </si>
  <si>
    <t>Manager</t>
  </si>
  <si>
    <t>arjun.khan2@company.com</t>
  </si>
  <si>
    <t>Chennai</t>
  </si>
  <si>
    <t>Part-Time</t>
  </si>
  <si>
    <t>Active</t>
  </si>
  <si>
    <t>Karan</t>
  </si>
  <si>
    <t>karan.reddy3@company.com</t>
  </si>
  <si>
    <t>Hyderabad</t>
  </si>
  <si>
    <t>Resigned</t>
  </si>
  <si>
    <t>Patil</t>
  </si>
  <si>
    <t>Analyst</t>
  </si>
  <si>
    <t>rahul.patil4@company.com</t>
  </si>
  <si>
    <t>Contract</t>
  </si>
  <si>
    <t>Anjali</t>
  </si>
  <si>
    <t>Nair</t>
  </si>
  <si>
    <t>IT</t>
  </si>
  <si>
    <t>anjali.nair5@company.com</t>
  </si>
  <si>
    <t>Bangalore</t>
  </si>
  <si>
    <t>Operations</t>
  </si>
  <si>
    <t>Consultant</t>
  </si>
  <si>
    <t>anjali.patil6@company.com</t>
  </si>
  <si>
    <t>Sneha</t>
  </si>
  <si>
    <t>Male</t>
  </si>
  <si>
    <t>sneha.patil7@company.com</t>
  </si>
  <si>
    <t>Pooja</t>
  </si>
  <si>
    <t>Joshi</t>
  </si>
  <si>
    <t>pooja.joshi8@company.com</t>
  </si>
  <si>
    <t>Mumbai</t>
  </si>
  <si>
    <t>Deshmukh</t>
  </si>
  <si>
    <t>rahul.deshmukh9@company.com</t>
  </si>
  <si>
    <t>Executive</t>
  </si>
  <si>
    <t>anjali.reddy10@company.com</t>
  </si>
  <si>
    <t>Yadav</t>
  </si>
  <si>
    <t>rahul.yadav11@company.com</t>
  </si>
  <si>
    <t>HR</t>
  </si>
  <si>
    <t>anjali.reddy12@company.com</t>
  </si>
  <si>
    <t>Neha</t>
  </si>
  <si>
    <t>Sharma</t>
  </si>
  <si>
    <t>neha.sharma13@company.com</t>
  </si>
  <si>
    <t>karan.deshmukh14@company.com</t>
  </si>
  <si>
    <t>Developer</t>
  </si>
  <si>
    <t>rahul.nair15@company.com</t>
  </si>
  <si>
    <t>Mehta</t>
  </si>
  <si>
    <t>arjun.mehta16@company.com</t>
  </si>
  <si>
    <t>Gupta</t>
  </si>
  <si>
    <t>pooja.gupta17@company.com</t>
  </si>
  <si>
    <t>pooja.yadav18@company.com</t>
  </si>
  <si>
    <t>karan.patil19@company.com</t>
  </si>
  <si>
    <t>Amit</t>
  </si>
  <si>
    <t>Marketing</t>
  </si>
  <si>
    <t>amit.joshi20@company.com</t>
  </si>
  <si>
    <t>pooja.reddy21@company.com</t>
  </si>
  <si>
    <t>karan.deshmukh22@company.com</t>
  </si>
  <si>
    <t>Vikram</t>
  </si>
  <si>
    <t>vikram.yadav23@company.com</t>
  </si>
  <si>
    <t>Priya</t>
  </si>
  <si>
    <t>priya.patil24@company.com</t>
  </si>
  <si>
    <t>anjali.reddy25@company.com</t>
  </si>
  <si>
    <t>priya.sharma26@company.com</t>
  </si>
  <si>
    <t>Delhi</t>
  </si>
  <si>
    <t>pooja.mehta27@company.com</t>
  </si>
  <si>
    <t>rahul.patil28@company.com</t>
  </si>
  <si>
    <t>amit.reddy29@company.com</t>
  </si>
  <si>
    <t>sneha.yadav30@company.com</t>
  </si>
  <si>
    <t>neha.khan31@company.com</t>
  </si>
  <si>
    <t>pooja.gupta32@company.com</t>
  </si>
  <si>
    <t>amit.joshi33@company.com</t>
  </si>
  <si>
    <t>neha.sharma34@company.com</t>
  </si>
  <si>
    <t>sneha.khan35@company.com</t>
  </si>
  <si>
    <t>karan.patil36@company.com</t>
  </si>
  <si>
    <t>sneha.deshmukh37@company.com</t>
  </si>
  <si>
    <t>vikram.yadav38@company.com</t>
  </si>
  <si>
    <t>sneha.deshmukh39@company.com</t>
  </si>
  <si>
    <t>vikram.gupta40@company.com</t>
  </si>
  <si>
    <t>priya.gupta41@company.com</t>
  </si>
  <si>
    <t>amit.sharma42@company.com</t>
  </si>
  <si>
    <t>pooja.joshi43@company.com</t>
  </si>
  <si>
    <t>karan.khan44@company.com</t>
  </si>
  <si>
    <t>pooja.yadav45@company.com</t>
  </si>
  <si>
    <t>anjali.patil46@company.com</t>
  </si>
  <si>
    <t>arjun.sharma47@company.com</t>
  </si>
  <si>
    <t>anjali.nair48@company.com</t>
  </si>
  <si>
    <t>neha.mehta49@company.com</t>
  </si>
  <si>
    <t>arjun.reddy50@company.com</t>
  </si>
  <si>
    <t>SaleID</t>
  </si>
  <si>
    <t>OrderDate</t>
  </si>
  <si>
    <t>CustomerName</t>
  </si>
  <si>
    <t>ProductName</t>
  </si>
  <si>
    <t>Category</t>
  </si>
  <si>
    <t>Region</t>
  </si>
  <si>
    <t>SalesAmount</t>
  </si>
  <si>
    <t>Quantity</t>
  </si>
  <si>
    <t>PaymentMode</t>
  </si>
  <si>
    <t>SalesPerson</t>
  </si>
  <si>
    <t>Amit Sharma</t>
  </si>
  <si>
    <t>Laptop</t>
  </si>
  <si>
    <t>Electronics</t>
  </si>
  <si>
    <t>West</t>
  </si>
  <si>
    <t>Credit Card</t>
  </si>
  <si>
    <t>Priya Patil</t>
  </si>
  <si>
    <t>Smartphone</t>
  </si>
  <si>
    <t>South</t>
  </si>
  <si>
    <t>UPI</t>
  </si>
  <si>
    <t>Rahul Gupta</t>
  </si>
  <si>
    <t>Headphones</t>
  </si>
  <si>
    <t>Accessories</t>
  </si>
  <si>
    <t>North</t>
  </si>
  <si>
    <t>Cash</t>
  </si>
  <si>
    <t>Sneha Reddy</t>
  </si>
  <si>
    <t>Keyboard</t>
  </si>
  <si>
    <t>East</t>
  </si>
  <si>
    <t>Vikram Nair</t>
  </si>
  <si>
    <t>Mouse</t>
  </si>
  <si>
    <t>Neha Khan</t>
  </si>
  <si>
    <t>Monitor</t>
  </si>
  <si>
    <t>Debit Card</t>
  </si>
  <si>
    <t>Arjun Joshi</t>
  </si>
  <si>
    <t>Printer</t>
  </si>
  <si>
    <t>Pooja Mehta</t>
  </si>
  <si>
    <t>Tablet</t>
  </si>
  <si>
    <t>Karan Yadav</t>
  </si>
  <si>
    <t>Office Chair</t>
  </si>
  <si>
    <t>Furniture</t>
  </si>
  <si>
    <t>Anjali Deshmukh</t>
  </si>
  <si>
    <t>Desk Table</t>
  </si>
  <si>
    <t>Rohit Salve</t>
  </si>
  <si>
    <t>Ekta Kulkarni</t>
  </si>
  <si>
    <t>Om Magdum</t>
  </si>
  <si>
    <t>Sayali Dhore</t>
  </si>
  <si>
    <t>Manvi Kridutta</t>
  </si>
  <si>
    <t>Pranav Dahatonde</t>
  </si>
  <si>
    <t>Vaishnavi Danke</t>
  </si>
  <si>
    <t>Muskan Shaikh</t>
  </si>
  <si>
    <t>Ayush Kajale</t>
  </si>
  <si>
    <t>Somnath Wagh</t>
  </si>
  <si>
    <t>Asha Patil</t>
  </si>
  <si>
    <t>Deepak Jadhav</t>
  </si>
  <si>
    <t>Kavita More</t>
  </si>
  <si>
    <t>Suresh Pawar</t>
  </si>
  <si>
    <t>Meena Shinde</t>
  </si>
  <si>
    <t>Nitin Kale</t>
  </si>
  <si>
    <t>Rekha Chavan</t>
  </si>
  <si>
    <t>Sachin Lokhande</t>
  </si>
  <si>
    <t>Pallavi Patil</t>
  </si>
  <si>
    <t>Ganesh More</t>
  </si>
  <si>
    <t>🔎 VLOOKUP Practice Questions</t>
  </si>
  <si>
    <r>
      <t xml:space="preserve">1. Using </t>
    </r>
    <r>
      <rPr>
        <b/>
        <sz val="11"/>
        <color theme="1"/>
        <rFont val="Calibri"/>
        <family val="2"/>
        <scheme val="minor"/>
      </rPr>
      <t>EmployeeID</t>
    </r>
    <r>
      <rPr>
        <sz val="11"/>
        <color theme="1"/>
        <rFont val="Calibri"/>
        <family val="2"/>
        <scheme val="minor"/>
      </rPr>
      <t xml:space="preserve">, find the </t>
    </r>
    <r>
      <rPr>
        <b/>
        <sz val="11"/>
        <color theme="1"/>
        <rFont val="Calibri"/>
        <family val="2"/>
        <scheme val="minor"/>
      </rPr>
      <t>FirstName and LastName</t>
    </r>
    <r>
      <rPr>
        <sz val="11"/>
        <color theme="1"/>
        <rFont val="Calibri"/>
        <family val="2"/>
        <scheme val="minor"/>
      </rPr>
      <t xml:space="preserve"> of EmployeeID = 25.</t>
    </r>
  </si>
  <si>
    <r>
      <t xml:space="preserve">2. Using </t>
    </r>
    <r>
      <rPr>
        <b/>
        <sz val="11"/>
        <color theme="1"/>
        <rFont val="Calibri"/>
        <family val="2"/>
        <scheme val="minor"/>
      </rPr>
      <t>EmployeeID</t>
    </r>
    <r>
      <rPr>
        <sz val="11"/>
        <color theme="1"/>
        <rFont val="Calibri"/>
        <family val="2"/>
        <scheme val="minor"/>
      </rPr>
      <t xml:space="preserve">, find the </t>
    </r>
    <r>
      <rPr>
        <b/>
        <sz val="11"/>
        <color theme="1"/>
        <rFont val="Calibri"/>
        <family val="2"/>
        <scheme val="minor"/>
      </rPr>
      <t>Department</t>
    </r>
    <r>
      <rPr>
        <sz val="11"/>
        <color theme="1"/>
        <rFont val="Calibri"/>
        <family val="2"/>
        <scheme val="minor"/>
      </rPr>
      <t xml:space="preserve"> of EmployeeID = 14.</t>
    </r>
  </si>
  <si>
    <r>
      <t xml:space="preserve">3. Using </t>
    </r>
    <r>
      <rPr>
        <b/>
        <sz val="11"/>
        <color theme="1"/>
        <rFont val="Calibri"/>
        <family val="2"/>
        <scheme val="minor"/>
      </rPr>
      <t>EmployeeID</t>
    </r>
    <r>
      <rPr>
        <sz val="11"/>
        <color theme="1"/>
        <rFont val="Calibri"/>
        <family val="2"/>
        <scheme val="minor"/>
      </rPr>
      <t xml:space="preserve">, retrieve the </t>
    </r>
    <r>
      <rPr>
        <b/>
        <sz val="11"/>
        <color theme="1"/>
        <rFont val="Calibri"/>
        <family val="2"/>
        <scheme val="minor"/>
      </rPr>
      <t>Salary</t>
    </r>
    <r>
      <rPr>
        <sz val="11"/>
        <color theme="1"/>
        <rFont val="Calibri"/>
        <family val="2"/>
        <scheme val="minor"/>
      </rPr>
      <t xml:space="preserve"> of EmployeeID = 40.</t>
    </r>
  </si>
  <si>
    <r>
      <t xml:space="preserve">4. Find the </t>
    </r>
    <r>
      <rPr>
        <b/>
        <sz val="11"/>
        <color theme="1"/>
        <rFont val="Calibri"/>
        <family val="2"/>
        <scheme val="minor"/>
      </rPr>
      <t>City</t>
    </r>
    <r>
      <rPr>
        <sz val="11"/>
        <color theme="1"/>
        <rFont val="Calibri"/>
        <family val="2"/>
        <scheme val="minor"/>
      </rPr>
      <t xml:space="preserve"> of the employee whose EmployeeID is 7.</t>
    </r>
  </si>
  <si>
    <r>
      <t xml:space="preserve">5. Using EmployeeID = 32, find the employee’s </t>
    </r>
    <r>
      <rPr>
        <b/>
        <sz val="11"/>
        <color theme="1"/>
        <rFont val="Calibri"/>
        <family val="2"/>
        <scheme val="minor"/>
      </rPr>
      <t>Designation and EmploymentType</t>
    </r>
    <r>
      <rPr>
        <sz val="11"/>
        <color theme="1"/>
        <rFont val="Calibri"/>
        <family val="2"/>
        <scheme val="minor"/>
      </rPr>
      <t>.</t>
    </r>
  </si>
  <si>
    <r>
      <t xml:space="preserve">6. Retrieve the </t>
    </r>
    <r>
      <rPr>
        <b/>
        <sz val="11"/>
        <color theme="1"/>
        <rFont val="Calibri"/>
        <family val="2"/>
        <scheme val="minor"/>
      </rPr>
      <t>PerformanceRating</t>
    </r>
    <r>
      <rPr>
        <sz val="11"/>
        <color theme="1"/>
        <rFont val="Calibri"/>
        <family val="2"/>
        <scheme val="minor"/>
      </rPr>
      <t xml:space="preserve"> of EmployeeID = 13.</t>
    </r>
  </si>
  <si>
    <r>
      <t xml:space="preserve">7. Find the </t>
    </r>
    <r>
      <rPr>
        <b/>
        <sz val="11"/>
        <color theme="1"/>
        <rFont val="Calibri"/>
        <family val="2"/>
        <scheme val="minor"/>
      </rPr>
      <t>Status</t>
    </r>
    <r>
      <rPr>
        <sz val="11"/>
        <color theme="1"/>
        <rFont val="Calibri"/>
        <family val="2"/>
        <scheme val="minor"/>
      </rPr>
      <t xml:space="preserve"> (Active/Resigned/On Leave) of EmployeeID = 36.</t>
    </r>
  </si>
  <si>
    <r>
      <t xml:space="preserve">8. Using EmployeeID = 5, find the employee’s </t>
    </r>
    <r>
      <rPr>
        <b/>
        <sz val="11"/>
        <color theme="1"/>
        <rFont val="Calibri"/>
        <family val="2"/>
        <scheme val="minor"/>
      </rPr>
      <t>HireDate</t>
    </r>
    <r>
      <rPr>
        <sz val="11"/>
        <color theme="1"/>
        <rFont val="Calibri"/>
        <family val="2"/>
        <scheme val="minor"/>
      </rPr>
      <t>.</t>
    </r>
  </si>
  <si>
    <r>
      <t xml:space="preserve">9. Retrieve the </t>
    </r>
    <r>
      <rPr>
        <b/>
        <sz val="11"/>
        <color theme="1"/>
        <rFont val="Calibri"/>
        <family val="2"/>
        <scheme val="minor"/>
      </rPr>
      <t>ExperienceYears</t>
    </r>
    <r>
      <rPr>
        <sz val="11"/>
        <color theme="1"/>
        <rFont val="Calibri"/>
        <family val="2"/>
        <scheme val="minor"/>
      </rPr>
      <t xml:space="preserve"> of EmployeeID = 30.</t>
    </r>
  </si>
  <si>
    <r>
      <t xml:space="preserve">10. Using EmployeeID = 47, find the employee’s </t>
    </r>
    <r>
      <rPr>
        <b/>
        <sz val="11"/>
        <color theme="1"/>
        <rFont val="Calibri"/>
        <family val="2"/>
        <scheme val="minor"/>
      </rPr>
      <t>Email and Department</t>
    </r>
    <r>
      <rPr>
        <sz val="11"/>
        <color theme="1"/>
        <rFont val="Calibri"/>
        <family val="2"/>
        <scheme val="minor"/>
      </rPr>
      <t>.</t>
    </r>
  </si>
  <si>
    <t>🔎 10 VLOOKUP Questions (Using SaleID as Lookup Value)</t>
  </si>
  <si>
    <r>
      <t xml:space="preserve">1. Using </t>
    </r>
    <r>
      <rPr>
        <b/>
        <sz val="11"/>
        <color theme="1"/>
        <rFont val="Calibri"/>
        <family val="2"/>
        <scheme val="minor"/>
      </rPr>
      <t>SaleID = 12</t>
    </r>
    <r>
      <rPr>
        <sz val="11"/>
        <color theme="1"/>
        <rFont val="Calibri"/>
        <family val="2"/>
        <scheme val="minor"/>
      </rPr>
      <t xml:space="preserve">, find the </t>
    </r>
    <r>
      <rPr>
        <b/>
        <sz val="11"/>
        <color theme="1"/>
        <rFont val="Calibri"/>
        <family val="2"/>
        <scheme val="minor"/>
      </rPr>
      <t>CustomerName and SalesAmount</t>
    </r>
    <r>
      <rPr>
        <sz val="11"/>
        <color theme="1"/>
        <rFont val="Calibri"/>
        <family val="2"/>
        <scheme val="minor"/>
      </rPr>
      <t>.</t>
    </r>
  </si>
  <si>
    <r>
      <t xml:space="preserve">2. Using </t>
    </r>
    <r>
      <rPr>
        <b/>
        <sz val="11"/>
        <color theme="1"/>
        <rFont val="Calibri"/>
        <family val="2"/>
        <scheme val="minor"/>
      </rPr>
      <t>SaleID = 6</t>
    </r>
    <r>
      <rPr>
        <sz val="11"/>
        <color theme="1"/>
        <rFont val="Calibri"/>
        <family val="2"/>
        <scheme val="minor"/>
      </rPr>
      <t xml:space="preserve">, retrieve the </t>
    </r>
    <r>
      <rPr>
        <b/>
        <sz val="11"/>
        <color theme="1"/>
        <rFont val="Calibri"/>
        <family val="2"/>
        <scheme val="minor"/>
      </rPr>
      <t>ProductName and Quantity</t>
    </r>
    <r>
      <rPr>
        <sz val="11"/>
        <color theme="1"/>
        <rFont val="Calibri"/>
        <family val="2"/>
        <scheme val="minor"/>
      </rPr>
      <t>.</t>
    </r>
  </si>
  <si>
    <r>
      <t xml:space="preserve">3. Using </t>
    </r>
    <r>
      <rPr>
        <b/>
        <sz val="11"/>
        <color theme="1"/>
        <rFont val="Calibri"/>
        <family val="2"/>
        <scheme val="minor"/>
      </rPr>
      <t>SaleID = 19</t>
    </r>
    <r>
      <rPr>
        <sz val="11"/>
        <color theme="1"/>
        <rFont val="Calibri"/>
        <family val="2"/>
        <scheme val="minor"/>
      </rPr>
      <t xml:space="preserve">, find the </t>
    </r>
    <r>
      <rPr>
        <b/>
        <sz val="11"/>
        <color theme="1"/>
        <rFont val="Calibri"/>
        <family val="2"/>
        <scheme val="minor"/>
      </rPr>
      <t>Region</t>
    </r>
    <r>
      <rPr>
        <sz val="11"/>
        <color theme="1"/>
        <rFont val="Calibri"/>
        <family val="2"/>
        <scheme val="minor"/>
      </rPr>
      <t xml:space="preserve"> of the sale.</t>
    </r>
  </si>
  <si>
    <r>
      <t xml:space="preserve">4. Using </t>
    </r>
    <r>
      <rPr>
        <b/>
        <sz val="11"/>
        <color theme="1"/>
        <rFont val="Calibri"/>
        <family val="2"/>
        <scheme val="minor"/>
      </rPr>
      <t>SaleID = 25</t>
    </r>
    <r>
      <rPr>
        <sz val="11"/>
        <color theme="1"/>
        <rFont val="Calibri"/>
        <family val="2"/>
        <scheme val="minor"/>
      </rPr>
      <t xml:space="preserve">, retrieve the </t>
    </r>
    <r>
      <rPr>
        <b/>
        <sz val="11"/>
        <color theme="1"/>
        <rFont val="Calibri"/>
        <family val="2"/>
        <scheme val="minor"/>
      </rPr>
      <t>PaymentMode</t>
    </r>
    <r>
      <rPr>
        <sz val="11"/>
        <color theme="1"/>
        <rFont val="Calibri"/>
        <family val="2"/>
        <scheme val="minor"/>
      </rPr>
      <t>.</t>
    </r>
  </si>
  <si>
    <r>
      <t xml:space="preserve">5. Using </t>
    </r>
    <r>
      <rPr>
        <b/>
        <sz val="11"/>
        <color theme="1"/>
        <rFont val="Calibri"/>
        <family val="2"/>
        <scheme val="minor"/>
      </rPr>
      <t>SaleID = 3</t>
    </r>
    <r>
      <rPr>
        <sz val="11"/>
        <color theme="1"/>
        <rFont val="Calibri"/>
        <family val="2"/>
        <scheme val="minor"/>
      </rPr>
      <t xml:space="preserve">, find the </t>
    </r>
    <r>
      <rPr>
        <b/>
        <sz val="11"/>
        <color theme="1"/>
        <rFont val="Calibri"/>
        <family val="2"/>
        <scheme val="minor"/>
      </rPr>
      <t>SalesPerson</t>
    </r>
    <r>
      <rPr>
        <sz val="11"/>
        <color theme="1"/>
        <rFont val="Calibri"/>
        <family val="2"/>
        <scheme val="minor"/>
      </rPr>
      <t xml:space="preserve"> handling the sale.</t>
    </r>
  </si>
  <si>
    <r>
      <t xml:space="preserve">6. Using </t>
    </r>
    <r>
      <rPr>
        <b/>
        <sz val="11"/>
        <color theme="1"/>
        <rFont val="Calibri"/>
        <family val="2"/>
        <scheme val="minor"/>
      </rPr>
      <t>SaleID = 20</t>
    </r>
    <r>
      <rPr>
        <sz val="11"/>
        <color theme="1"/>
        <rFont val="Calibri"/>
        <family val="2"/>
        <scheme val="minor"/>
      </rPr>
      <t xml:space="preserve">, retrieve the </t>
    </r>
    <r>
      <rPr>
        <b/>
        <sz val="11"/>
        <color theme="1"/>
        <rFont val="Calibri"/>
        <family val="2"/>
        <scheme val="minor"/>
      </rPr>
      <t>Category and SalesAmount</t>
    </r>
    <r>
      <rPr>
        <sz val="11"/>
        <color theme="1"/>
        <rFont val="Calibri"/>
        <family val="2"/>
        <scheme val="minor"/>
      </rPr>
      <t>.</t>
    </r>
  </si>
  <si>
    <r>
      <t xml:space="preserve">7. Using </t>
    </r>
    <r>
      <rPr>
        <b/>
        <sz val="11"/>
        <color theme="1"/>
        <rFont val="Calibri"/>
        <family val="2"/>
        <scheme val="minor"/>
      </rPr>
      <t>SaleID = 8</t>
    </r>
    <r>
      <rPr>
        <sz val="11"/>
        <color theme="1"/>
        <rFont val="Calibri"/>
        <family val="2"/>
        <scheme val="minor"/>
      </rPr>
      <t xml:space="preserve">, find the </t>
    </r>
    <r>
      <rPr>
        <b/>
        <sz val="11"/>
        <color theme="1"/>
        <rFont val="Calibri"/>
        <family val="2"/>
        <scheme val="minor"/>
      </rPr>
      <t>OrderDate and ProductName</t>
    </r>
    <r>
      <rPr>
        <sz val="11"/>
        <color theme="1"/>
        <rFont val="Calibri"/>
        <family val="2"/>
        <scheme val="minor"/>
      </rPr>
      <t>.</t>
    </r>
  </si>
  <si>
    <r>
      <t xml:space="preserve">8. Using </t>
    </r>
    <r>
      <rPr>
        <b/>
        <sz val="11"/>
        <color theme="1"/>
        <rFont val="Calibri"/>
        <family val="2"/>
        <scheme val="minor"/>
      </rPr>
      <t>SaleID = 27</t>
    </r>
    <r>
      <rPr>
        <sz val="11"/>
        <color theme="1"/>
        <rFont val="Calibri"/>
        <family val="2"/>
        <scheme val="minor"/>
      </rPr>
      <t xml:space="preserve">, retrieve the </t>
    </r>
    <r>
      <rPr>
        <b/>
        <sz val="11"/>
        <color theme="1"/>
        <rFont val="Calibri"/>
        <family val="2"/>
        <scheme val="minor"/>
      </rPr>
      <t>CustomerName and Region</t>
    </r>
    <r>
      <rPr>
        <sz val="11"/>
        <color theme="1"/>
        <rFont val="Calibri"/>
        <family val="2"/>
        <scheme val="minor"/>
      </rPr>
      <t>.</t>
    </r>
  </si>
  <si>
    <r>
      <t xml:space="preserve">9. Using </t>
    </r>
    <r>
      <rPr>
        <b/>
        <sz val="11"/>
        <color theme="1"/>
        <rFont val="Calibri"/>
        <family val="2"/>
        <scheme val="minor"/>
      </rPr>
      <t>SaleID = 14</t>
    </r>
    <r>
      <rPr>
        <sz val="11"/>
        <color theme="1"/>
        <rFont val="Calibri"/>
        <family val="2"/>
        <scheme val="minor"/>
      </rPr>
      <t xml:space="preserve">, find the </t>
    </r>
    <r>
      <rPr>
        <b/>
        <sz val="11"/>
        <color theme="1"/>
        <rFont val="Calibri"/>
        <family val="2"/>
        <scheme val="minor"/>
      </rPr>
      <t>Quantity and PaymentMode</t>
    </r>
    <r>
      <rPr>
        <sz val="11"/>
        <color theme="1"/>
        <rFont val="Calibri"/>
        <family val="2"/>
        <scheme val="minor"/>
      </rPr>
      <t>.</t>
    </r>
  </si>
  <si>
    <r>
      <t xml:space="preserve">10. Using </t>
    </r>
    <r>
      <rPr>
        <b/>
        <sz val="11"/>
        <color theme="1"/>
        <rFont val="Calibri"/>
        <family val="2"/>
        <scheme val="minor"/>
      </rPr>
      <t>SaleID = 30</t>
    </r>
    <r>
      <rPr>
        <sz val="11"/>
        <color theme="1"/>
        <rFont val="Calibri"/>
        <family val="2"/>
        <scheme val="minor"/>
      </rPr>
      <t xml:space="preserve">, retrieve the </t>
    </r>
    <r>
      <rPr>
        <b/>
        <sz val="11"/>
        <color theme="1"/>
        <rFont val="Calibri"/>
        <family val="2"/>
        <scheme val="minor"/>
      </rPr>
      <t>SalesPerson and SalesAmount</t>
    </r>
    <r>
      <rPr>
        <sz val="11"/>
        <color theme="1"/>
        <rFont val="Calibri"/>
        <family val="2"/>
        <scheme val="minor"/>
      </rPr>
      <t>.</t>
    </r>
  </si>
  <si>
    <r>
      <t xml:space="preserve">Using the Email ID </t>
    </r>
    <r>
      <rPr>
        <b/>
        <sz val="11"/>
        <color theme="1"/>
        <rFont val="Calibri"/>
        <family val="2"/>
        <scheme val="minor"/>
      </rPr>
      <t>anjali.reddy25@company.com</t>
    </r>
    <r>
      <rPr>
        <sz val="11"/>
        <color theme="1"/>
        <rFont val="Calibri"/>
        <family val="2"/>
        <scheme val="minor"/>
      </rPr>
      <t xml:space="preserve">, find the employee’s </t>
    </r>
    <r>
      <rPr>
        <b/>
        <sz val="11"/>
        <color theme="1"/>
        <rFont val="Calibri"/>
        <family val="2"/>
        <scheme val="minor"/>
      </rPr>
      <t>Department</t>
    </r>
    <r>
      <rPr>
        <sz val="11"/>
        <color theme="1"/>
        <rFont val="Calibri"/>
        <family val="2"/>
        <scheme val="minor"/>
      </rPr>
      <t>.</t>
    </r>
  </si>
  <si>
    <r>
      <t xml:space="preserve">Using the Email ID </t>
    </r>
    <r>
      <rPr>
        <b/>
        <sz val="11"/>
        <color theme="1"/>
        <rFont val="Calibri"/>
        <family val="2"/>
        <scheme val="minor"/>
      </rPr>
      <t>rahul.yadav11@company.com</t>
    </r>
    <r>
      <rPr>
        <sz val="11"/>
        <color theme="1"/>
        <rFont val="Calibri"/>
        <family val="2"/>
        <scheme val="minor"/>
      </rPr>
      <t xml:space="preserve">, retrieve the employee’s </t>
    </r>
    <r>
      <rPr>
        <b/>
        <sz val="11"/>
        <color theme="1"/>
        <rFont val="Calibri"/>
        <family val="2"/>
        <scheme val="minor"/>
      </rPr>
      <t>Designation and Salary</t>
    </r>
    <r>
      <rPr>
        <sz val="11"/>
        <color theme="1"/>
        <rFont val="Calibri"/>
        <family val="2"/>
        <scheme val="minor"/>
      </rPr>
      <t>.</t>
    </r>
  </si>
  <si>
    <r>
      <t xml:space="preserve">Using the Email ID </t>
    </r>
    <r>
      <rPr>
        <b/>
        <sz val="11"/>
        <color theme="1"/>
        <rFont val="Calibri"/>
        <family val="2"/>
        <scheme val="minor"/>
      </rPr>
      <t>pooja.gupta32@company.com</t>
    </r>
    <r>
      <rPr>
        <sz val="11"/>
        <color theme="1"/>
        <rFont val="Calibri"/>
        <family val="2"/>
        <scheme val="minor"/>
      </rPr>
      <t xml:space="preserve">, find the employee’s </t>
    </r>
    <r>
      <rPr>
        <b/>
        <sz val="11"/>
        <color theme="1"/>
        <rFont val="Calibri"/>
        <family val="2"/>
        <scheme val="minor"/>
      </rPr>
      <t>City and EmploymentType</t>
    </r>
    <r>
      <rPr>
        <sz val="11"/>
        <color theme="1"/>
        <rFont val="Calibri"/>
        <family val="2"/>
        <scheme val="minor"/>
      </rPr>
      <t>.</t>
    </r>
  </si>
  <si>
    <r>
      <t xml:space="preserve">Using the Email ID </t>
    </r>
    <r>
      <rPr>
        <b/>
        <sz val="11"/>
        <color theme="1"/>
        <rFont val="Calibri"/>
        <family val="2"/>
        <scheme val="minor"/>
      </rPr>
      <t>amit.sharma42@company.com</t>
    </r>
    <r>
      <rPr>
        <sz val="11"/>
        <color theme="1"/>
        <rFont val="Calibri"/>
        <family val="2"/>
        <scheme val="minor"/>
      </rPr>
      <t xml:space="preserve">, find the employee’s </t>
    </r>
    <r>
      <rPr>
        <b/>
        <sz val="11"/>
        <color theme="1"/>
        <rFont val="Calibri"/>
        <family val="2"/>
        <scheme val="minor"/>
      </rPr>
      <t>PerformanceRating</t>
    </r>
    <r>
      <rPr>
        <sz val="11"/>
        <color theme="1"/>
        <rFont val="Calibri"/>
        <family val="2"/>
        <scheme val="minor"/>
      </rPr>
      <t>.</t>
    </r>
  </si>
  <si>
    <r>
      <t xml:space="preserve">Using the Email ID </t>
    </r>
    <r>
      <rPr>
        <b/>
        <sz val="11"/>
        <color theme="1"/>
        <rFont val="Calibri"/>
        <family val="2"/>
        <scheme val="minor"/>
      </rPr>
      <t>arjun.reddy50@company.com</t>
    </r>
    <r>
      <rPr>
        <sz val="11"/>
        <color theme="1"/>
        <rFont val="Calibri"/>
        <family val="2"/>
        <scheme val="minor"/>
      </rPr>
      <t xml:space="preserve">, retrieve the employee’s </t>
    </r>
    <r>
      <rPr>
        <b/>
        <sz val="11"/>
        <color theme="1"/>
        <rFont val="Calibri"/>
        <family val="2"/>
        <scheme val="minor"/>
      </rPr>
      <t>Status and ExperienceYears</t>
    </r>
    <r>
      <rPr>
        <sz val="11"/>
        <color theme="1"/>
        <rFont val="Calibri"/>
        <family val="2"/>
        <scheme val="minor"/>
      </rPr>
      <t>.</t>
    </r>
  </si>
  <si>
    <r>
      <t xml:space="preserve">11. Using </t>
    </r>
    <r>
      <rPr>
        <b/>
        <sz val="11"/>
        <color theme="1"/>
        <rFont val="Calibri"/>
        <family val="2"/>
        <scheme val="minor"/>
      </rPr>
      <t>ProductName = "Laptop"</t>
    </r>
    <r>
      <rPr>
        <sz val="11"/>
        <color theme="1"/>
        <rFont val="Calibri"/>
        <family val="2"/>
        <scheme val="minor"/>
      </rPr>
      <t xml:space="preserve">, find the </t>
    </r>
    <r>
      <rPr>
        <b/>
        <sz val="11"/>
        <color theme="1"/>
        <rFont val="Calibri"/>
        <family val="2"/>
        <scheme val="minor"/>
      </rPr>
      <t>SalesAmount</t>
    </r>
    <r>
      <rPr>
        <sz val="11"/>
        <color theme="1"/>
        <rFont val="Calibri"/>
        <family val="2"/>
        <scheme val="minor"/>
      </rPr>
      <t xml:space="preserve"> for the first occurrence.</t>
    </r>
  </si>
  <si>
    <r>
      <t xml:space="preserve">12. Using </t>
    </r>
    <r>
      <rPr>
        <b/>
        <sz val="11"/>
        <color theme="1"/>
        <rFont val="Calibri"/>
        <family val="2"/>
        <scheme val="minor"/>
      </rPr>
      <t>ProductName = "Monitor"</t>
    </r>
    <r>
      <rPr>
        <sz val="11"/>
        <color theme="1"/>
        <rFont val="Calibri"/>
        <family val="2"/>
        <scheme val="minor"/>
      </rPr>
      <t xml:space="preserve">, retrieve the </t>
    </r>
    <r>
      <rPr>
        <b/>
        <sz val="11"/>
        <color theme="1"/>
        <rFont val="Calibri"/>
        <family val="2"/>
        <scheme val="minor"/>
      </rPr>
      <t>Region</t>
    </r>
    <r>
      <rPr>
        <sz val="11"/>
        <color theme="1"/>
        <rFont val="Calibri"/>
        <family val="2"/>
        <scheme val="minor"/>
      </rPr>
      <t xml:space="preserve"> of the first sale.</t>
    </r>
  </si>
  <si>
    <r>
      <t xml:space="preserve">13. Using </t>
    </r>
    <r>
      <rPr>
        <b/>
        <sz val="11"/>
        <color theme="1"/>
        <rFont val="Calibri"/>
        <family val="2"/>
        <scheme val="minor"/>
      </rPr>
      <t>ProductName = "Tablet"</t>
    </r>
    <r>
      <rPr>
        <sz val="11"/>
        <color theme="1"/>
        <rFont val="Calibri"/>
        <family val="2"/>
        <scheme val="minor"/>
      </rPr>
      <t xml:space="preserve">, find the </t>
    </r>
    <r>
      <rPr>
        <b/>
        <sz val="11"/>
        <color theme="1"/>
        <rFont val="Calibri"/>
        <family val="2"/>
        <scheme val="minor"/>
      </rPr>
      <t>SalesPerson</t>
    </r>
    <r>
      <rPr>
        <sz val="11"/>
        <color theme="1"/>
        <rFont val="Calibri"/>
        <family val="2"/>
        <scheme val="minor"/>
      </rPr>
      <t>.</t>
    </r>
  </si>
  <si>
    <r>
      <t xml:space="preserve">14. Using </t>
    </r>
    <r>
      <rPr>
        <b/>
        <sz val="11"/>
        <color theme="1"/>
        <rFont val="Calibri"/>
        <family val="2"/>
        <scheme val="minor"/>
      </rPr>
      <t>ProductName = "Desk Table"</t>
    </r>
    <r>
      <rPr>
        <sz val="11"/>
        <color theme="1"/>
        <rFont val="Calibri"/>
        <family val="2"/>
        <scheme val="minor"/>
      </rPr>
      <t xml:space="preserve">, retrieve the </t>
    </r>
    <r>
      <rPr>
        <b/>
        <sz val="11"/>
        <color theme="1"/>
        <rFont val="Calibri"/>
        <family val="2"/>
        <scheme val="minor"/>
      </rPr>
      <t>Quantity</t>
    </r>
    <r>
      <rPr>
        <sz val="11"/>
        <color theme="1"/>
        <rFont val="Calibri"/>
        <family val="2"/>
        <scheme val="minor"/>
      </rPr>
      <t>.</t>
    </r>
  </si>
  <si>
    <r>
      <t xml:space="preserve">15. Using </t>
    </r>
    <r>
      <rPr>
        <b/>
        <sz val="11"/>
        <color theme="1"/>
        <rFont val="Calibri"/>
        <family val="2"/>
        <scheme val="minor"/>
      </rPr>
      <t>ProductName = "Headphones"</t>
    </r>
    <r>
      <rPr>
        <sz val="11"/>
        <color theme="1"/>
        <rFont val="Calibri"/>
        <family val="2"/>
        <scheme val="minor"/>
      </rPr>
      <t xml:space="preserve">, find the </t>
    </r>
    <r>
      <rPr>
        <b/>
        <sz val="11"/>
        <color theme="1"/>
        <rFont val="Calibri"/>
        <family val="2"/>
        <scheme val="minor"/>
      </rPr>
      <t>CustomerName</t>
    </r>
    <r>
      <rPr>
        <sz val="11"/>
        <color theme="1"/>
        <rFont val="Calibri"/>
        <family val="2"/>
        <scheme val="minor"/>
      </rPr>
      <t xml:space="preserve"> for the first occurrence.</t>
    </r>
  </si>
  <si>
    <t>Firstname</t>
  </si>
  <si>
    <t>Lastname</t>
  </si>
  <si>
    <t>EmpId</t>
  </si>
  <si>
    <t>Destination</t>
  </si>
  <si>
    <t>Emp_type</t>
  </si>
  <si>
    <t>Hiredate</t>
  </si>
  <si>
    <t>EmpID</t>
  </si>
  <si>
    <t>anjali.reddy@company.com</t>
  </si>
  <si>
    <t>Exp_yers</t>
  </si>
  <si>
    <t>Sales Amount</t>
  </si>
  <si>
    <t>Product Name</t>
  </si>
  <si>
    <t>SlaeID</t>
  </si>
  <si>
    <t>laptop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</si>
</sst>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1" fillId="2" borderId="1" xfId="0" applyFont="1" applyFill="1" applyBorder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7" xfId="0" applyBorder="1"/>
    <xf numFmtId="14" fontId="0" fillId="0" borderId="8" xfId="0" applyNumberFormat="1" applyBorder="1"/>
    <xf numFmtId="0" fontId="0" fillId="0" borderId="8" xfId="0" applyBorder="1"/>
    <xf numFmtId="0" fontId="0" fillId="0" borderId="9" xfId="0" applyBorder="1"/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3" borderId="1" xfId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4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B5EAA5-8EAA-4D89-9C28-0A119864EB81}" name="data" displayName="data" ref="A1:J31" totalsRowShown="0" headerRowDxfId="13" headerRowBorderDxfId="12" tableBorderDxfId="11" totalsRowBorderDxfId="10">
  <autoFilter ref="A1:J31" xr:uid="{FDB5EAA5-8EAA-4D89-9C28-0A119864EB81}"/>
  <tableColumns count="10">
    <tableColumn id="1" xr3:uid="{A555F1C3-58E1-457F-8416-82816D0A94A7}" name="SaleID" dataDxfId="9"/>
    <tableColumn id="2" xr3:uid="{73216928-D981-4D7F-A9F7-97F4C9979527}" name="OrderDate" dataDxfId="8"/>
    <tableColumn id="3" xr3:uid="{13B9E53E-D2CC-4F7A-9259-B92C5E2E01F9}" name="CustomerName" dataDxfId="7"/>
    <tableColumn id="4" xr3:uid="{0D469982-0FA8-43FF-8CE6-C762F28E52AE}" name="ProductName" dataDxfId="6"/>
    <tableColumn id="5" xr3:uid="{CFDB60B2-4F24-48DA-8679-F16C1AB93463}" name="Category" dataDxfId="5"/>
    <tableColumn id="6" xr3:uid="{CC4F0CAB-9679-4D74-8589-AE6838BB82B0}" name="Region" dataDxfId="4"/>
    <tableColumn id="7" xr3:uid="{D6D0A409-E05A-48C9-93D5-CCB3CA19E07C}" name="SalesAmount" dataDxfId="3"/>
    <tableColumn id="8" xr3:uid="{3AA10277-1FFE-4711-8FB9-DE58DD27C0BC}" name="Quantity" dataDxfId="2"/>
    <tableColumn id="9" xr3:uid="{9C63560D-3411-4047-8438-38C6F45F0CE6}" name="PaymentMode" dataDxfId="1"/>
    <tableColumn id="10" xr3:uid="{AE83D3C5-0850-459C-BFAD-D68EC8045924}" name="SalesPers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ooja.gupta32@company.com" TargetMode="External"/><Relationship Id="rId2" Type="http://schemas.openxmlformats.org/officeDocument/2006/relationships/hyperlink" Target="mailto:rahul.yadav11@company.com" TargetMode="External"/><Relationship Id="rId1" Type="http://schemas.openxmlformats.org/officeDocument/2006/relationships/hyperlink" Target="mailto:anjali.reddy@company.com" TargetMode="External"/><Relationship Id="rId5" Type="http://schemas.openxmlformats.org/officeDocument/2006/relationships/hyperlink" Target="mailto:arjun.reddy50@company.com" TargetMode="External"/><Relationship Id="rId4" Type="http://schemas.openxmlformats.org/officeDocument/2006/relationships/hyperlink" Target="mailto:amit.sharma42@company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BF535-666F-4080-9536-2D0E8A6DB4F7}">
  <dimension ref="A1:O51"/>
  <sheetViews>
    <sheetView topLeftCell="A25" workbookViewId="0">
      <selection activeCell="A6" sqref="A6:I6"/>
    </sheetView>
  </sheetViews>
  <sheetFormatPr defaultRowHeight="14.4" x14ac:dyDescent="0.3"/>
  <cols>
    <col min="1" max="1" width="11.109375" bestFit="1" customWidth="1"/>
    <col min="2" max="3" width="9.44140625" bestFit="1" customWidth="1"/>
    <col min="4" max="4" width="7.109375" bestFit="1" customWidth="1"/>
    <col min="5" max="5" width="4.21875" bestFit="1" customWidth="1"/>
    <col min="6" max="6" width="11.109375" bestFit="1" customWidth="1"/>
    <col min="7" max="7" width="10.88671875" bestFit="1" customWidth="1"/>
    <col min="8" max="8" width="7" bestFit="1" customWidth="1"/>
    <col min="9" max="9" width="10.33203125" bestFit="1" customWidth="1"/>
    <col min="10" max="10" width="30.44140625" bestFit="1" customWidth="1"/>
    <col min="11" max="11" width="9.77734375" bestFit="1" customWidth="1"/>
    <col min="12" max="12" width="14.6640625" bestFit="1" customWidth="1"/>
    <col min="13" max="13" width="16" bestFit="1" customWidth="1"/>
    <col min="14" max="14" width="17.44140625" bestFit="1" customWidth="1"/>
    <col min="15" max="15" width="8.5546875" bestFit="1" customWidth="1"/>
  </cols>
  <sheetData>
    <row r="1" spans="1:15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x14ac:dyDescent="0.3">
      <c r="A2" s="1">
        <v>1</v>
      </c>
      <c r="B2" s="1" t="s">
        <v>15</v>
      </c>
      <c r="C2" s="1" t="s">
        <v>16</v>
      </c>
      <c r="D2" s="1" t="s">
        <v>17</v>
      </c>
      <c r="E2" s="1">
        <v>48</v>
      </c>
      <c r="F2" s="1" t="s">
        <v>18</v>
      </c>
      <c r="G2" s="1" t="s">
        <v>19</v>
      </c>
      <c r="H2" s="1">
        <v>144872</v>
      </c>
      <c r="I2" s="2">
        <v>44655</v>
      </c>
      <c r="J2" s="1" t="s">
        <v>20</v>
      </c>
      <c r="K2" s="1" t="s">
        <v>21</v>
      </c>
      <c r="L2" s="1">
        <v>1</v>
      </c>
      <c r="M2" s="1" t="s">
        <v>22</v>
      </c>
      <c r="N2" s="1">
        <v>6</v>
      </c>
      <c r="O2" s="1" t="s">
        <v>23</v>
      </c>
    </row>
    <row r="3" spans="1:15" x14ac:dyDescent="0.3">
      <c r="A3" s="1">
        <v>2</v>
      </c>
      <c r="B3" s="1" t="s">
        <v>24</v>
      </c>
      <c r="C3" s="1" t="s">
        <v>25</v>
      </c>
      <c r="D3" s="1" t="s">
        <v>17</v>
      </c>
      <c r="E3" s="1">
        <v>34</v>
      </c>
      <c r="F3" s="1" t="s">
        <v>26</v>
      </c>
      <c r="G3" s="1" t="s">
        <v>27</v>
      </c>
      <c r="H3" s="1">
        <v>91921</v>
      </c>
      <c r="I3" s="2">
        <v>42722</v>
      </c>
      <c r="J3" s="1" t="s">
        <v>28</v>
      </c>
      <c r="K3" s="1" t="s">
        <v>29</v>
      </c>
      <c r="L3" s="1">
        <v>8</v>
      </c>
      <c r="M3" s="1" t="s">
        <v>30</v>
      </c>
      <c r="N3" s="1">
        <v>8</v>
      </c>
      <c r="O3" s="1" t="s">
        <v>31</v>
      </c>
    </row>
    <row r="4" spans="1:15" x14ac:dyDescent="0.3">
      <c r="A4" s="1">
        <v>3</v>
      </c>
      <c r="B4" s="1" t="s">
        <v>32</v>
      </c>
      <c r="C4" s="1" t="s">
        <v>16</v>
      </c>
      <c r="D4" s="1" t="s">
        <v>17</v>
      </c>
      <c r="E4" s="1">
        <v>34</v>
      </c>
      <c r="F4" s="1" t="s">
        <v>26</v>
      </c>
      <c r="G4" s="1" t="s">
        <v>19</v>
      </c>
      <c r="H4" s="1">
        <v>56519</v>
      </c>
      <c r="I4" s="2">
        <v>45338</v>
      </c>
      <c r="J4" s="1" t="s">
        <v>33</v>
      </c>
      <c r="K4" s="1" t="s">
        <v>34</v>
      </c>
      <c r="L4" s="1">
        <v>5</v>
      </c>
      <c r="M4" s="1" t="s">
        <v>22</v>
      </c>
      <c r="N4" s="1">
        <v>5</v>
      </c>
      <c r="O4" s="1" t="s">
        <v>35</v>
      </c>
    </row>
    <row r="5" spans="1:15" x14ac:dyDescent="0.3">
      <c r="A5" s="1">
        <v>4</v>
      </c>
      <c r="B5" s="1" t="s">
        <v>15</v>
      </c>
      <c r="C5" s="1" t="s">
        <v>36</v>
      </c>
      <c r="D5" s="1" t="s">
        <v>17</v>
      </c>
      <c r="E5" s="1">
        <v>44</v>
      </c>
      <c r="F5" s="1" t="s">
        <v>26</v>
      </c>
      <c r="G5" s="1" t="s">
        <v>37</v>
      </c>
      <c r="H5" s="1">
        <v>31171</v>
      </c>
      <c r="I5" s="2">
        <v>44542</v>
      </c>
      <c r="J5" s="1" t="s">
        <v>38</v>
      </c>
      <c r="K5" s="1" t="s">
        <v>29</v>
      </c>
      <c r="L5" s="1">
        <v>16</v>
      </c>
      <c r="M5" s="1" t="s">
        <v>39</v>
      </c>
      <c r="N5" s="1">
        <v>7</v>
      </c>
      <c r="O5" s="1" t="s">
        <v>31</v>
      </c>
    </row>
    <row r="6" spans="1:15" x14ac:dyDescent="0.3">
      <c r="A6" s="1">
        <v>5</v>
      </c>
      <c r="B6" s="1" t="s">
        <v>40</v>
      </c>
      <c r="C6" s="1" t="s">
        <v>41</v>
      </c>
      <c r="D6" s="1" t="s">
        <v>17</v>
      </c>
      <c r="E6" s="1">
        <v>21</v>
      </c>
      <c r="F6" s="1" t="s">
        <v>42</v>
      </c>
      <c r="G6" s="1" t="s">
        <v>19</v>
      </c>
      <c r="H6" s="1">
        <v>57380</v>
      </c>
      <c r="I6" s="2">
        <v>45144</v>
      </c>
      <c r="J6" s="1" t="s">
        <v>43</v>
      </c>
      <c r="K6" s="1" t="s">
        <v>44</v>
      </c>
      <c r="L6" s="1">
        <v>12</v>
      </c>
      <c r="M6" s="1" t="s">
        <v>39</v>
      </c>
      <c r="N6" s="1">
        <v>3</v>
      </c>
      <c r="O6" s="1" t="s">
        <v>31</v>
      </c>
    </row>
    <row r="7" spans="1:15" x14ac:dyDescent="0.3">
      <c r="A7" s="1">
        <v>6</v>
      </c>
      <c r="B7" s="1" t="s">
        <v>40</v>
      </c>
      <c r="C7" s="1" t="s">
        <v>36</v>
      </c>
      <c r="D7" s="1" t="s">
        <v>17</v>
      </c>
      <c r="E7" s="1">
        <v>31</v>
      </c>
      <c r="F7" s="1" t="s">
        <v>45</v>
      </c>
      <c r="G7" s="1" t="s">
        <v>46</v>
      </c>
      <c r="H7" s="1">
        <v>138009</v>
      </c>
      <c r="I7" s="2">
        <v>45923</v>
      </c>
      <c r="J7" s="1" t="s">
        <v>47</v>
      </c>
      <c r="K7" s="1" t="s">
        <v>34</v>
      </c>
      <c r="L7" s="1">
        <v>13</v>
      </c>
      <c r="M7" s="1" t="s">
        <v>30</v>
      </c>
      <c r="N7" s="1">
        <v>5</v>
      </c>
      <c r="O7" s="1" t="s">
        <v>35</v>
      </c>
    </row>
    <row r="8" spans="1:15" x14ac:dyDescent="0.3">
      <c r="A8" s="1">
        <v>7</v>
      </c>
      <c r="B8" s="1" t="s">
        <v>48</v>
      </c>
      <c r="C8" s="1" t="s">
        <v>36</v>
      </c>
      <c r="D8" s="1" t="s">
        <v>49</v>
      </c>
      <c r="E8" s="1">
        <v>48</v>
      </c>
      <c r="F8" s="1" t="s">
        <v>45</v>
      </c>
      <c r="G8" s="1" t="s">
        <v>27</v>
      </c>
      <c r="H8" s="1">
        <v>140782</v>
      </c>
      <c r="I8" s="2">
        <v>45670</v>
      </c>
      <c r="J8" s="1" t="s">
        <v>50</v>
      </c>
      <c r="K8" s="1" t="s">
        <v>34</v>
      </c>
      <c r="L8" s="1">
        <v>15</v>
      </c>
      <c r="M8" s="1" t="s">
        <v>39</v>
      </c>
      <c r="N8" s="1">
        <v>5</v>
      </c>
      <c r="O8" s="1" t="s">
        <v>35</v>
      </c>
    </row>
    <row r="9" spans="1:15" x14ac:dyDescent="0.3">
      <c r="A9" s="1">
        <v>8</v>
      </c>
      <c r="B9" s="1" t="s">
        <v>51</v>
      </c>
      <c r="C9" s="1" t="s">
        <v>52</v>
      </c>
      <c r="D9" s="1" t="s">
        <v>17</v>
      </c>
      <c r="E9" s="1">
        <v>30</v>
      </c>
      <c r="F9" s="1" t="s">
        <v>26</v>
      </c>
      <c r="G9" s="1" t="s">
        <v>37</v>
      </c>
      <c r="H9" s="1">
        <v>25883</v>
      </c>
      <c r="I9" s="2">
        <v>45861</v>
      </c>
      <c r="J9" s="1" t="s">
        <v>53</v>
      </c>
      <c r="K9" s="1" t="s">
        <v>54</v>
      </c>
      <c r="L9" s="1">
        <v>3</v>
      </c>
      <c r="M9" s="1" t="s">
        <v>39</v>
      </c>
      <c r="N9" s="1">
        <v>2</v>
      </c>
      <c r="O9" s="1" t="s">
        <v>23</v>
      </c>
    </row>
    <row r="10" spans="1:15" x14ac:dyDescent="0.3">
      <c r="A10" s="1">
        <v>9</v>
      </c>
      <c r="B10" s="1" t="s">
        <v>15</v>
      </c>
      <c r="C10" s="1" t="s">
        <v>55</v>
      </c>
      <c r="D10" s="1" t="s">
        <v>17</v>
      </c>
      <c r="E10" s="1">
        <v>34</v>
      </c>
      <c r="F10" s="1" t="s">
        <v>26</v>
      </c>
      <c r="G10" s="1" t="s">
        <v>19</v>
      </c>
      <c r="H10" s="1">
        <v>81932</v>
      </c>
      <c r="I10" s="2">
        <v>42613</v>
      </c>
      <c r="J10" s="1" t="s">
        <v>56</v>
      </c>
      <c r="K10" s="1" t="s">
        <v>21</v>
      </c>
      <c r="L10" s="1">
        <v>17</v>
      </c>
      <c r="M10" s="1" t="s">
        <v>22</v>
      </c>
      <c r="N10" s="1">
        <v>9</v>
      </c>
      <c r="O10" s="1" t="s">
        <v>31</v>
      </c>
    </row>
    <row r="11" spans="1:15" x14ac:dyDescent="0.3">
      <c r="A11" s="1">
        <v>10</v>
      </c>
      <c r="B11" s="1" t="s">
        <v>40</v>
      </c>
      <c r="C11" s="1" t="s">
        <v>16</v>
      </c>
      <c r="D11" s="1" t="s">
        <v>49</v>
      </c>
      <c r="E11" s="1">
        <v>59</v>
      </c>
      <c r="F11" s="1" t="s">
        <v>26</v>
      </c>
      <c r="G11" s="1" t="s">
        <v>57</v>
      </c>
      <c r="H11" s="1">
        <v>139623</v>
      </c>
      <c r="I11" s="2">
        <v>42147</v>
      </c>
      <c r="J11" s="1" t="s">
        <v>58</v>
      </c>
      <c r="K11" s="1" t="s">
        <v>54</v>
      </c>
      <c r="L11" s="1">
        <v>7</v>
      </c>
      <c r="M11" s="1" t="s">
        <v>39</v>
      </c>
      <c r="N11" s="1">
        <v>7</v>
      </c>
      <c r="O11" s="1" t="s">
        <v>23</v>
      </c>
    </row>
    <row r="12" spans="1:15" x14ac:dyDescent="0.3">
      <c r="A12" s="1">
        <v>11</v>
      </c>
      <c r="B12" s="1" t="s">
        <v>15</v>
      </c>
      <c r="C12" s="1" t="s">
        <v>59</v>
      </c>
      <c r="D12" s="1" t="s">
        <v>49</v>
      </c>
      <c r="E12" s="1">
        <v>54</v>
      </c>
      <c r="F12" s="1" t="s">
        <v>42</v>
      </c>
      <c r="G12" s="1" t="s">
        <v>46</v>
      </c>
      <c r="H12" s="1">
        <v>125616</v>
      </c>
      <c r="I12" s="2">
        <v>42768</v>
      </c>
      <c r="J12" s="1" t="s">
        <v>60</v>
      </c>
      <c r="K12" s="1" t="s">
        <v>29</v>
      </c>
      <c r="L12" s="1">
        <v>12</v>
      </c>
      <c r="M12" s="1" t="s">
        <v>22</v>
      </c>
      <c r="N12" s="1">
        <v>1</v>
      </c>
      <c r="O12" s="1" t="s">
        <v>35</v>
      </c>
    </row>
    <row r="13" spans="1:15" x14ac:dyDescent="0.3">
      <c r="A13" s="1">
        <v>12</v>
      </c>
      <c r="B13" s="1" t="s">
        <v>40</v>
      </c>
      <c r="C13" s="1" t="s">
        <v>16</v>
      </c>
      <c r="D13" s="1" t="s">
        <v>49</v>
      </c>
      <c r="E13" s="1">
        <v>34</v>
      </c>
      <c r="F13" s="1" t="s">
        <v>61</v>
      </c>
      <c r="G13" s="1" t="s">
        <v>37</v>
      </c>
      <c r="H13" s="1">
        <v>30476</v>
      </c>
      <c r="I13" s="2">
        <v>42264</v>
      </c>
      <c r="J13" s="1" t="s">
        <v>62</v>
      </c>
      <c r="K13" s="1" t="s">
        <v>21</v>
      </c>
      <c r="L13" s="1">
        <v>9</v>
      </c>
      <c r="M13" s="1" t="s">
        <v>22</v>
      </c>
      <c r="N13" s="1">
        <v>7</v>
      </c>
      <c r="O13" s="1" t="s">
        <v>31</v>
      </c>
    </row>
    <row r="14" spans="1:15" x14ac:dyDescent="0.3">
      <c r="A14" s="1">
        <v>13</v>
      </c>
      <c r="B14" s="1" t="s">
        <v>63</v>
      </c>
      <c r="C14" s="1" t="s">
        <v>64</v>
      </c>
      <c r="D14" s="1" t="s">
        <v>17</v>
      </c>
      <c r="E14" s="1">
        <v>27</v>
      </c>
      <c r="F14" s="1" t="s">
        <v>26</v>
      </c>
      <c r="G14" s="1" t="s">
        <v>27</v>
      </c>
      <c r="H14" s="1">
        <v>99089</v>
      </c>
      <c r="I14" s="2">
        <v>45753</v>
      </c>
      <c r="J14" s="1" t="s">
        <v>65</v>
      </c>
      <c r="K14" s="1" t="s">
        <v>29</v>
      </c>
      <c r="L14" s="1">
        <v>11</v>
      </c>
      <c r="M14" s="1" t="s">
        <v>39</v>
      </c>
      <c r="N14" s="1">
        <v>10</v>
      </c>
      <c r="O14" s="1" t="s">
        <v>23</v>
      </c>
    </row>
    <row r="15" spans="1:15" x14ac:dyDescent="0.3">
      <c r="A15" s="1">
        <v>14</v>
      </c>
      <c r="B15" s="1" t="s">
        <v>32</v>
      </c>
      <c r="C15" s="1" t="s">
        <v>55</v>
      </c>
      <c r="D15" s="1" t="s">
        <v>49</v>
      </c>
      <c r="E15" s="1">
        <v>44</v>
      </c>
      <c r="F15" s="1" t="s">
        <v>42</v>
      </c>
      <c r="G15" s="1" t="s">
        <v>57</v>
      </c>
      <c r="H15" s="1">
        <v>32289</v>
      </c>
      <c r="I15" s="2">
        <v>44335</v>
      </c>
      <c r="J15" s="1" t="s">
        <v>66</v>
      </c>
      <c r="K15" s="1" t="s">
        <v>44</v>
      </c>
      <c r="L15" s="1">
        <v>4</v>
      </c>
      <c r="M15" s="1" t="s">
        <v>22</v>
      </c>
      <c r="N15" s="1">
        <v>8</v>
      </c>
      <c r="O15" s="1" t="s">
        <v>31</v>
      </c>
    </row>
    <row r="16" spans="1:15" x14ac:dyDescent="0.3">
      <c r="A16" s="1">
        <v>15</v>
      </c>
      <c r="B16" s="1" t="s">
        <v>15</v>
      </c>
      <c r="C16" s="1" t="s">
        <v>41</v>
      </c>
      <c r="D16" s="1" t="s">
        <v>17</v>
      </c>
      <c r="E16" s="1">
        <v>49</v>
      </c>
      <c r="F16" s="1" t="s">
        <v>18</v>
      </c>
      <c r="G16" s="1" t="s">
        <v>67</v>
      </c>
      <c r="H16" s="1">
        <v>103018</v>
      </c>
      <c r="I16" s="2">
        <v>43985</v>
      </c>
      <c r="J16" s="1" t="s">
        <v>68</v>
      </c>
      <c r="K16" s="1" t="s">
        <v>21</v>
      </c>
      <c r="L16" s="1">
        <v>2</v>
      </c>
      <c r="M16" s="1" t="s">
        <v>22</v>
      </c>
      <c r="N16" s="1">
        <v>9</v>
      </c>
      <c r="O16" s="1" t="s">
        <v>35</v>
      </c>
    </row>
    <row r="17" spans="1:15" x14ac:dyDescent="0.3">
      <c r="A17" s="1">
        <v>16</v>
      </c>
      <c r="B17" s="1" t="s">
        <v>24</v>
      </c>
      <c r="C17" s="1" t="s">
        <v>69</v>
      </c>
      <c r="D17" s="1" t="s">
        <v>49</v>
      </c>
      <c r="E17" s="1">
        <v>43</v>
      </c>
      <c r="F17" s="1" t="s">
        <v>61</v>
      </c>
      <c r="G17" s="1" t="s">
        <v>37</v>
      </c>
      <c r="H17" s="1">
        <v>106329</v>
      </c>
      <c r="I17" s="2">
        <v>43779</v>
      </c>
      <c r="J17" s="1" t="s">
        <v>70</v>
      </c>
      <c r="K17" s="1" t="s">
        <v>44</v>
      </c>
      <c r="L17" s="1">
        <v>3</v>
      </c>
      <c r="M17" s="1" t="s">
        <v>22</v>
      </c>
      <c r="N17" s="1">
        <v>6</v>
      </c>
      <c r="O17" s="1" t="s">
        <v>35</v>
      </c>
    </row>
    <row r="18" spans="1:15" x14ac:dyDescent="0.3">
      <c r="A18" s="1">
        <v>17</v>
      </c>
      <c r="B18" s="1" t="s">
        <v>51</v>
      </c>
      <c r="C18" s="1" t="s">
        <v>71</v>
      </c>
      <c r="D18" s="1" t="s">
        <v>17</v>
      </c>
      <c r="E18" s="1">
        <v>59</v>
      </c>
      <c r="F18" s="1" t="s">
        <v>18</v>
      </c>
      <c r="G18" s="1" t="s">
        <v>37</v>
      </c>
      <c r="H18" s="1">
        <v>122738</v>
      </c>
      <c r="I18" s="2">
        <v>43779</v>
      </c>
      <c r="J18" s="1" t="s">
        <v>72</v>
      </c>
      <c r="K18" s="1" t="s">
        <v>29</v>
      </c>
      <c r="L18" s="1">
        <v>7</v>
      </c>
      <c r="M18" s="1" t="s">
        <v>39</v>
      </c>
      <c r="N18" s="1">
        <v>1</v>
      </c>
      <c r="O18" s="1" t="s">
        <v>31</v>
      </c>
    </row>
    <row r="19" spans="1:15" x14ac:dyDescent="0.3">
      <c r="A19" s="1">
        <v>18</v>
      </c>
      <c r="B19" s="1" t="s">
        <v>51</v>
      </c>
      <c r="C19" s="1" t="s">
        <v>59</v>
      </c>
      <c r="D19" s="1" t="s">
        <v>17</v>
      </c>
      <c r="E19" s="1">
        <v>60</v>
      </c>
      <c r="F19" s="1" t="s">
        <v>26</v>
      </c>
      <c r="G19" s="1" t="s">
        <v>19</v>
      </c>
      <c r="H19" s="1">
        <v>47558</v>
      </c>
      <c r="I19" s="2">
        <v>44482</v>
      </c>
      <c r="J19" s="1" t="s">
        <v>73</v>
      </c>
      <c r="K19" s="1" t="s">
        <v>54</v>
      </c>
      <c r="L19" s="1">
        <v>4</v>
      </c>
      <c r="M19" s="1" t="s">
        <v>22</v>
      </c>
      <c r="N19" s="1">
        <v>1</v>
      </c>
      <c r="O19" s="1" t="s">
        <v>23</v>
      </c>
    </row>
    <row r="20" spans="1:15" x14ac:dyDescent="0.3">
      <c r="A20" s="1">
        <v>19</v>
      </c>
      <c r="B20" s="1" t="s">
        <v>32</v>
      </c>
      <c r="C20" s="1" t="s">
        <v>36</v>
      </c>
      <c r="D20" s="1" t="s">
        <v>49</v>
      </c>
      <c r="E20" s="1">
        <v>45</v>
      </c>
      <c r="F20" s="1" t="s">
        <v>42</v>
      </c>
      <c r="G20" s="1" t="s">
        <v>46</v>
      </c>
      <c r="H20" s="1">
        <v>75790</v>
      </c>
      <c r="I20" s="2">
        <v>42963</v>
      </c>
      <c r="J20" s="1" t="s">
        <v>74</v>
      </c>
      <c r="K20" s="1" t="s">
        <v>34</v>
      </c>
      <c r="L20" s="1">
        <v>3</v>
      </c>
      <c r="M20" s="1" t="s">
        <v>30</v>
      </c>
      <c r="N20" s="1">
        <v>8</v>
      </c>
      <c r="O20" s="1" t="s">
        <v>23</v>
      </c>
    </row>
    <row r="21" spans="1:15" x14ac:dyDescent="0.3">
      <c r="A21" s="1">
        <v>20</v>
      </c>
      <c r="B21" s="1" t="s">
        <v>75</v>
      </c>
      <c r="C21" s="1" t="s">
        <v>52</v>
      </c>
      <c r="D21" s="1" t="s">
        <v>17</v>
      </c>
      <c r="E21" s="1">
        <v>50</v>
      </c>
      <c r="F21" s="1" t="s">
        <v>76</v>
      </c>
      <c r="G21" s="1" t="s">
        <v>57</v>
      </c>
      <c r="H21" s="1">
        <v>26994</v>
      </c>
      <c r="I21" s="2">
        <v>43322</v>
      </c>
      <c r="J21" s="1" t="s">
        <v>77</v>
      </c>
      <c r="K21" s="1" t="s">
        <v>34</v>
      </c>
      <c r="L21" s="1">
        <v>17</v>
      </c>
      <c r="M21" s="1" t="s">
        <v>39</v>
      </c>
      <c r="N21" s="1">
        <v>10</v>
      </c>
      <c r="O21" s="1" t="s">
        <v>23</v>
      </c>
    </row>
    <row r="22" spans="1:15" x14ac:dyDescent="0.3">
      <c r="A22" s="1">
        <v>21</v>
      </c>
      <c r="B22" s="1" t="s">
        <v>51</v>
      </c>
      <c r="C22" s="1" t="s">
        <v>16</v>
      </c>
      <c r="D22" s="1" t="s">
        <v>17</v>
      </c>
      <c r="E22" s="1">
        <v>41</v>
      </c>
      <c r="F22" s="1" t="s">
        <v>45</v>
      </c>
      <c r="G22" s="1" t="s">
        <v>27</v>
      </c>
      <c r="H22" s="1">
        <v>125880</v>
      </c>
      <c r="I22" s="2">
        <v>42940</v>
      </c>
      <c r="J22" s="1" t="s">
        <v>78</v>
      </c>
      <c r="K22" s="1" t="s">
        <v>29</v>
      </c>
      <c r="L22" s="1">
        <v>4</v>
      </c>
      <c r="M22" s="1" t="s">
        <v>30</v>
      </c>
      <c r="N22" s="1">
        <v>3</v>
      </c>
      <c r="O22" s="1" t="s">
        <v>31</v>
      </c>
    </row>
    <row r="23" spans="1:15" x14ac:dyDescent="0.3">
      <c r="A23" s="1">
        <v>22</v>
      </c>
      <c r="B23" s="1" t="s">
        <v>32</v>
      </c>
      <c r="C23" s="1" t="s">
        <v>55</v>
      </c>
      <c r="D23" s="1" t="s">
        <v>49</v>
      </c>
      <c r="E23" s="1">
        <v>34</v>
      </c>
      <c r="F23" s="1" t="s">
        <v>26</v>
      </c>
      <c r="G23" s="1" t="s">
        <v>27</v>
      </c>
      <c r="H23" s="1">
        <v>56372</v>
      </c>
      <c r="I23" s="2">
        <v>43326</v>
      </c>
      <c r="J23" s="1" t="s">
        <v>79</v>
      </c>
      <c r="K23" s="1" t="s">
        <v>54</v>
      </c>
      <c r="L23" s="1">
        <v>16</v>
      </c>
      <c r="M23" s="1" t="s">
        <v>30</v>
      </c>
      <c r="N23" s="1">
        <v>1</v>
      </c>
      <c r="O23" s="1" t="s">
        <v>31</v>
      </c>
    </row>
    <row r="24" spans="1:15" x14ac:dyDescent="0.3">
      <c r="A24" s="1">
        <v>23</v>
      </c>
      <c r="B24" s="1" t="s">
        <v>80</v>
      </c>
      <c r="C24" s="1" t="s">
        <v>59</v>
      </c>
      <c r="D24" s="1" t="s">
        <v>17</v>
      </c>
      <c r="E24" s="1">
        <v>36</v>
      </c>
      <c r="F24" s="1" t="s">
        <v>18</v>
      </c>
      <c r="G24" s="1" t="s">
        <v>37</v>
      </c>
      <c r="H24" s="1">
        <v>117435</v>
      </c>
      <c r="I24" s="2">
        <v>42235</v>
      </c>
      <c r="J24" s="1" t="s">
        <v>81</v>
      </c>
      <c r="K24" s="1" t="s">
        <v>21</v>
      </c>
      <c r="L24" s="1">
        <v>2</v>
      </c>
      <c r="M24" s="1" t="s">
        <v>39</v>
      </c>
      <c r="N24" s="1">
        <v>6</v>
      </c>
      <c r="O24" s="1" t="s">
        <v>23</v>
      </c>
    </row>
    <row r="25" spans="1:15" x14ac:dyDescent="0.3">
      <c r="A25" s="1">
        <v>24</v>
      </c>
      <c r="B25" s="1" t="s">
        <v>82</v>
      </c>
      <c r="C25" s="1" t="s">
        <v>36</v>
      </c>
      <c r="D25" s="1" t="s">
        <v>17</v>
      </c>
      <c r="E25" s="1">
        <v>28</v>
      </c>
      <c r="F25" s="1" t="s">
        <v>76</v>
      </c>
      <c r="G25" s="1" t="s">
        <v>19</v>
      </c>
      <c r="H25" s="1">
        <v>138075</v>
      </c>
      <c r="I25" s="2">
        <v>43256</v>
      </c>
      <c r="J25" s="1" t="s">
        <v>83</v>
      </c>
      <c r="K25" s="1" t="s">
        <v>29</v>
      </c>
      <c r="L25" s="1">
        <v>2</v>
      </c>
      <c r="M25" s="1" t="s">
        <v>22</v>
      </c>
      <c r="N25" s="1">
        <v>5</v>
      </c>
      <c r="O25" s="1" t="s">
        <v>23</v>
      </c>
    </row>
    <row r="26" spans="1:15" x14ac:dyDescent="0.3">
      <c r="A26" s="1">
        <v>25</v>
      </c>
      <c r="B26" s="1" t="s">
        <v>40</v>
      </c>
      <c r="C26" s="1" t="s">
        <v>16</v>
      </c>
      <c r="D26" s="1" t="s">
        <v>17</v>
      </c>
      <c r="E26" s="1">
        <v>44</v>
      </c>
      <c r="F26" s="1" t="s">
        <v>42</v>
      </c>
      <c r="G26" s="1" t="s">
        <v>57</v>
      </c>
      <c r="H26" s="1">
        <v>26054</v>
      </c>
      <c r="I26" s="2">
        <v>43199</v>
      </c>
      <c r="J26" s="1" t="s">
        <v>84</v>
      </c>
      <c r="K26" s="1" t="s">
        <v>44</v>
      </c>
      <c r="L26" s="1">
        <v>4</v>
      </c>
      <c r="M26" s="1" t="s">
        <v>30</v>
      </c>
      <c r="N26" s="1">
        <v>6</v>
      </c>
      <c r="O26" s="1" t="s">
        <v>35</v>
      </c>
    </row>
    <row r="27" spans="1:15" x14ac:dyDescent="0.3">
      <c r="A27" s="1">
        <v>26</v>
      </c>
      <c r="B27" s="1" t="s">
        <v>82</v>
      </c>
      <c r="C27" s="1" t="s">
        <v>64</v>
      </c>
      <c r="D27" s="1" t="s">
        <v>49</v>
      </c>
      <c r="E27" s="1">
        <v>40</v>
      </c>
      <c r="F27" s="1" t="s">
        <v>76</v>
      </c>
      <c r="G27" s="1" t="s">
        <v>57</v>
      </c>
      <c r="H27" s="1">
        <v>59428</v>
      </c>
      <c r="I27" s="2">
        <v>44588</v>
      </c>
      <c r="J27" s="1" t="s">
        <v>85</v>
      </c>
      <c r="K27" s="1" t="s">
        <v>86</v>
      </c>
      <c r="L27" s="1">
        <v>14</v>
      </c>
      <c r="M27" s="1" t="s">
        <v>39</v>
      </c>
      <c r="N27" s="1">
        <v>8</v>
      </c>
      <c r="O27" s="1" t="s">
        <v>23</v>
      </c>
    </row>
    <row r="28" spans="1:15" x14ac:dyDescent="0.3">
      <c r="A28" s="1">
        <v>27</v>
      </c>
      <c r="B28" s="1" t="s">
        <v>51</v>
      </c>
      <c r="C28" s="1" t="s">
        <v>69</v>
      </c>
      <c r="D28" s="1" t="s">
        <v>49</v>
      </c>
      <c r="E28" s="1">
        <v>56</v>
      </c>
      <c r="F28" s="1" t="s">
        <v>76</v>
      </c>
      <c r="G28" s="1" t="s">
        <v>57</v>
      </c>
      <c r="H28" s="1">
        <v>73157</v>
      </c>
      <c r="I28" s="2">
        <v>45591</v>
      </c>
      <c r="J28" s="1" t="s">
        <v>87</v>
      </c>
      <c r="K28" s="1" t="s">
        <v>54</v>
      </c>
      <c r="L28" s="1">
        <v>6</v>
      </c>
      <c r="M28" s="1" t="s">
        <v>39</v>
      </c>
      <c r="N28" s="1">
        <v>4</v>
      </c>
      <c r="O28" s="1" t="s">
        <v>23</v>
      </c>
    </row>
    <row r="29" spans="1:15" x14ac:dyDescent="0.3">
      <c r="A29" s="1">
        <v>28</v>
      </c>
      <c r="B29" s="1" t="s">
        <v>15</v>
      </c>
      <c r="C29" s="1" t="s">
        <v>36</v>
      </c>
      <c r="D29" s="1" t="s">
        <v>17</v>
      </c>
      <c r="E29" s="1">
        <v>37</v>
      </c>
      <c r="F29" s="1" t="s">
        <v>42</v>
      </c>
      <c r="G29" s="1" t="s">
        <v>57</v>
      </c>
      <c r="H29" s="1">
        <v>28325</v>
      </c>
      <c r="I29" s="2">
        <v>44742</v>
      </c>
      <c r="J29" s="1" t="s">
        <v>88</v>
      </c>
      <c r="K29" s="1" t="s">
        <v>54</v>
      </c>
      <c r="L29" s="1">
        <v>9</v>
      </c>
      <c r="M29" s="1" t="s">
        <v>22</v>
      </c>
      <c r="N29" s="1">
        <v>5</v>
      </c>
      <c r="O29" s="1" t="s">
        <v>35</v>
      </c>
    </row>
    <row r="30" spans="1:15" x14ac:dyDescent="0.3">
      <c r="A30" s="1">
        <v>29</v>
      </c>
      <c r="B30" s="1" t="s">
        <v>75</v>
      </c>
      <c r="C30" s="1" t="s">
        <v>16</v>
      </c>
      <c r="D30" s="1" t="s">
        <v>17</v>
      </c>
      <c r="E30" s="1">
        <v>54</v>
      </c>
      <c r="F30" s="1" t="s">
        <v>18</v>
      </c>
      <c r="G30" s="1" t="s">
        <v>37</v>
      </c>
      <c r="H30" s="1">
        <v>124478</v>
      </c>
      <c r="I30" s="2">
        <v>44932</v>
      </c>
      <c r="J30" s="1" t="s">
        <v>89</v>
      </c>
      <c r="K30" s="1" t="s">
        <v>34</v>
      </c>
      <c r="L30" s="1">
        <v>15</v>
      </c>
      <c r="M30" s="1" t="s">
        <v>39</v>
      </c>
      <c r="N30" s="1">
        <v>4</v>
      </c>
      <c r="O30" s="1" t="s">
        <v>35</v>
      </c>
    </row>
    <row r="31" spans="1:15" x14ac:dyDescent="0.3">
      <c r="A31" s="1">
        <v>30</v>
      </c>
      <c r="B31" s="1" t="s">
        <v>48</v>
      </c>
      <c r="C31" s="1" t="s">
        <v>59</v>
      </c>
      <c r="D31" s="1" t="s">
        <v>49</v>
      </c>
      <c r="E31" s="1">
        <v>28</v>
      </c>
      <c r="F31" s="1" t="s">
        <v>18</v>
      </c>
      <c r="G31" s="1" t="s">
        <v>46</v>
      </c>
      <c r="H31" s="1">
        <v>144858</v>
      </c>
      <c r="I31" s="2">
        <v>45611</v>
      </c>
      <c r="J31" s="1" t="s">
        <v>90</v>
      </c>
      <c r="K31" s="1" t="s">
        <v>29</v>
      </c>
      <c r="L31" s="1">
        <v>20</v>
      </c>
      <c r="M31" s="1" t="s">
        <v>30</v>
      </c>
      <c r="N31" s="1">
        <v>7</v>
      </c>
      <c r="O31" s="1" t="s">
        <v>31</v>
      </c>
    </row>
    <row r="32" spans="1:15" x14ac:dyDescent="0.3">
      <c r="A32" s="1">
        <v>31</v>
      </c>
      <c r="B32" s="1" t="s">
        <v>63</v>
      </c>
      <c r="C32" s="1" t="s">
        <v>25</v>
      </c>
      <c r="D32" s="1" t="s">
        <v>49</v>
      </c>
      <c r="E32" s="1">
        <v>44</v>
      </c>
      <c r="F32" s="1" t="s">
        <v>45</v>
      </c>
      <c r="G32" s="1" t="s">
        <v>37</v>
      </c>
      <c r="H32" s="1">
        <v>99196</v>
      </c>
      <c r="I32" s="2">
        <v>45929</v>
      </c>
      <c r="J32" s="1" t="s">
        <v>91</v>
      </c>
      <c r="K32" s="1" t="s">
        <v>34</v>
      </c>
      <c r="L32" s="1">
        <v>1</v>
      </c>
      <c r="M32" s="1" t="s">
        <v>30</v>
      </c>
      <c r="N32" s="1">
        <v>6</v>
      </c>
      <c r="O32" s="1" t="s">
        <v>23</v>
      </c>
    </row>
    <row r="33" spans="1:15" x14ac:dyDescent="0.3">
      <c r="A33" s="1">
        <v>32</v>
      </c>
      <c r="B33" s="1" t="s">
        <v>51</v>
      </c>
      <c r="C33" s="1" t="s">
        <v>71</v>
      </c>
      <c r="D33" s="1" t="s">
        <v>17</v>
      </c>
      <c r="E33" s="1">
        <v>43</v>
      </c>
      <c r="F33" s="1" t="s">
        <v>61</v>
      </c>
      <c r="G33" s="1" t="s">
        <v>27</v>
      </c>
      <c r="H33" s="1">
        <v>80528</v>
      </c>
      <c r="I33" s="2">
        <v>45863</v>
      </c>
      <c r="J33" s="1" t="s">
        <v>92</v>
      </c>
      <c r="K33" s="1" t="s">
        <v>44</v>
      </c>
      <c r="L33" s="1">
        <v>16</v>
      </c>
      <c r="M33" s="1" t="s">
        <v>30</v>
      </c>
      <c r="N33" s="1">
        <v>4</v>
      </c>
      <c r="O33" s="1" t="s">
        <v>31</v>
      </c>
    </row>
    <row r="34" spans="1:15" x14ac:dyDescent="0.3">
      <c r="A34" s="1">
        <v>33</v>
      </c>
      <c r="B34" s="1" t="s">
        <v>75</v>
      </c>
      <c r="C34" s="1" t="s">
        <v>52</v>
      </c>
      <c r="D34" s="1" t="s">
        <v>17</v>
      </c>
      <c r="E34" s="1">
        <v>27</v>
      </c>
      <c r="F34" s="1" t="s">
        <v>18</v>
      </c>
      <c r="G34" s="1" t="s">
        <v>27</v>
      </c>
      <c r="H34" s="1">
        <v>48091</v>
      </c>
      <c r="I34" s="2">
        <v>45462</v>
      </c>
      <c r="J34" s="1" t="s">
        <v>93</v>
      </c>
      <c r="K34" s="1" t="s">
        <v>54</v>
      </c>
      <c r="L34" s="1">
        <v>13</v>
      </c>
      <c r="M34" s="1" t="s">
        <v>39</v>
      </c>
      <c r="N34" s="1">
        <v>9</v>
      </c>
      <c r="O34" s="1" t="s">
        <v>31</v>
      </c>
    </row>
    <row r="35" spans="1:15" x14ac:dyDescent="0.3">
      <c r="A35" s="1">
        <v>34</v>
      </c>
      <c r="B35" s="1" t="s">
        <v>63</v>
      </c>
      <c r="C35" s="1" t="s">
        <v>64</v>
      </c>
      <c r="D35" s="1" t="s">
        <v>17</v>
      </c>
      <c r="E35" s="1">
        <v>59</v>
      </c>
      <c r="F35" s="1" t="s">
        <v>76</v>
      </c>
      <c r="G35" s="1" t="s">
        <v>57</v>
      </c>
      <c r="H35" s="1">
        <v>44289</v>
      </c>
      <c r="I35" s="2">
        <v>43428</v>
      </c>
      <c r="J35" s="1" t="s">
        <v>94</v>
      </c>
      <c r="K35" s="1" t="s">
        <v>21</v>
      </c>
      <c r="L35" s="1">
        <v>14</v>
      </c>
      <c r="M35" s="1" t="s">
        <v>22</v>
      </c>
      <c r="N35" s="1">
        <v>3</v>
      </c>
      <c r="O35" s="1" t="s">
        <v>23</v>
      </c>
    </row>
    <row r="36" spans="1:15" x14ac:dyDescent="0.3">
      <c r="A36" s="1">
        <v>35</v>
      </c>
      <c r="B36" s="1" t="s">
        <v>48</v>
      </c>
      <c r="C36" s="1" t="s">
        <v>25</v>
      </c>
      <c r="D36" s="1" t="s">
        <v>49</v>
      </c>
      <c r="E36" s="1">
        <v>27</v>
      </c>
      <c r="F36" s="1" t="s">
        <v>26</v>
      </c>
      <c r="G36" s="1" t="s">
        <v>19</v>
      </c>
      <c r="H36" s="1">
        <v>56207</v>
      </c>
      <c r="I36" s="2">
        <v>44524</v>
      </c>
      <c r="J36" s="1" t="s">
        <v>95</v>
      </c>
      <c r="K36" s="1" t="s">
        <v>86</v>
      </c>
      <c r="L36" s="1">
        <v>13</v>
      </c>
      <c r="M36" s="1" t="s">
        <v>22</v>
      </c>
      <c r="N36" s="1">
        <v>6</v>
      </c>
      <c r="O36" s="1" t="s">
        <v>23</v>
      </c>
    </row>
    <row r="37" spans="1:15" x14ac:dyDescent="0.3">
      <c r="A37" s="1">
        <v>36</v>
      </c>
      <c r="B37" s="1" t="s">
        <v>32</v>
      </c>
      <c r="C37" s="1" t="s">
        <v>36</v>
      </c>
      <c r="D37" s="1" t="s">
        <v>49</v>
      </c>
      <c r="E37" s="1">
        <v>30</v>
      </c>
      <c r="F37" s="1" t="s">
        <v>76</v>
      </c>
      <c r="G37" s="1" t="s">
        <v>27</v>
      </c>
      <c r="H37" s="1">
        <v>122541</v>
      </c>
      <c r="I37" s="2">
        <v>45699</v>
      </c>
      <c r="J37" s="1" t="s">
        <v>96</v>
      </c>
      <c r="K37" s="1" t="s">
        <v>86</v>
      </c>
      <c r="L37" s="1">
        <v>1</v>
      </c>
      <c r="M37" s="1" t="s">
        <v>39</v>
      </c>
      <c r="N37" s="1">
        <v>9</v>
      </c>
      <c r="O37" s="1" t="s">
        <v>35</v>
      </c>
    </row>
    <row r="38" spans="1:15" x14ac:dyDescent="0.3">
      <c r="A38" s="1">
        <v>37</v>
      </c>
      <c r="B38" s="1" t="s">
        <v>48</v>
      </c>
      <c r="C38" s="1" t="s">
        <v>55</v>
      </c>
      <c r="D38" s="1" t="s">
        <v>49</v>
      </c>
      <c r="E38" s="1">
        <v>54</v>
      </c>
      <c r="F38" s="1" t="s">
        <v>42</v>
      </c>
      <c r="G38" s="1" t="s">
        <v>19</v>
      </c>
      <c r="H38" s="1">
        <v>66217</v>
      </c>
      <c r="I38" s="2">
        <v>42871</v>
      </c>
      <c r="J38" s="1" t="s">
        <v>97</v>
      </c>
      <c r="K38" s="1" t="s">
        <v>86</v>
      </c>
      <c r="L38" s="1">
        <v>17</v>
      </c>
      <c r="M38" s="1" t="s">
        <v>39</v>
      </c>
      <c r="N38" s="1">
        <v>4</v>
      </c>
      <c r="O38" s="1" t="s">
        <v>23</v>
      </c>
    </row>
    <row r="39" spans="1:15" x14ac:dyDescent="0.3">
      <c r="A39" s="1">
        <v>38</v>
      </c>
      <c r="B39" s="1" t="s">
        <v>80</v>
      </c>
      <c r="C39" s="1" t="s">
        <v>59</v>
      </c>
      <c r="D39" s="1" t="s">
        <v>17</v>
      </c>
      <c r="E39" s="1">
        <v>54</v>
      </c>
      <c r="F39" s="1" t="s">
        <v>42</v>
      </c>
      <c r="G39" s="1" t="s">
        <v>37</v>
      </c>
      <c r="H39" s="1">
        <v>140449</v>
      </c>
      <c r="I39" s="2">
        <v>44259</v>
      </c>
      <c r="J39" s="1" t="s">
        <v>98</v>
      </c>
      <c r="K39" s="1" t="s">
        <v>86</v>
      </c>
      <c r="L39" s="1">
        <v>12</v>
      </c>
      <c r="M39" s="1" t="s">
        <v>22</v>
      </c>
      <c r="N39" s="1">
        <v>5</v>
      </c>
      <c r="O39" s="1" t="s">
        <v>23</v>
      </c>
    </row>
    <row r="40" spans="1:15" x14ac:dyDescent="0.3">
      <c r="A40" s="1">
        <v>39</v>
      </c>
      <c r="B40" s="1" t="s">
        <v>48</v>
      </c>
      <c r="C40" s="1" t="s">
        <v>55</v>
      </c>
      <c r="D40" s="1" t="s">
        <v>17</v>
      </c>
      <c r="E40" s="1">
        <v>34</v>
      </c>
      <c r="F40" s="1" t="s">
        <v>45</v>
      </c>
      <c r="G40" s="1" t="s">
        <v>67</v>
      </c>
      <c r="H40" s="1">
        <v>117110</v>
      </c>
      <c r="I40" s="2">
        <v>45669</v>
      </c>
      <c r="J40" s="1" t="s">
        <v>99</v>
      </c>
      <c r="K40" s="1" t="s">
        <v>44</v>
      </c>
      <c r="L40" s="1">
        <v>20</v>
      </c>
      <c r="M40" s="1" t="s">
        <v>30</v>
      </c>
      <c r="N40" s="1">
        <v>8</v>
      </c>
      <c r="O40" s="1" t="s">
        <v>31</v>
      </c>
    </row>
    <row r="41" spans="1:15" x14ac:dyDescent="0.3">
      <c r="A41" s="1">
        <v>40</v>
      </c>
      <c r="B41" s="1" t="s">
        <v>80</v>
      </c>
      <c r="C41" s="1" t="s">
        <v>71</v>
      </c>
      <c r="D41" s="1" t="s">
        <v>17</v>
      </c>
      <c r="E41" s="1">
        <v>59</v>
      </c>
      <c r="F41" s="1" t="s">
        <v>42</v>
      </c>
      <c r="G41" s="1" t="s">
        <v>57</v>
      </c>
      <c r="H41" s="1">
        <v>115145</v>
      </c>
      <c r="I41" s="2">
        <v>43425</v>
      </c>
      <c r="J41" s="1" t="s">
        <v>100</v>
      </c>
      <c r="K41" s="1" t="s">
        <v>21</v>
      </c>
      <c r="L41" s="1">
        <v>8</v>
      </c>
      <c r="M41" s="1" t="s">
        <v>30</v>
      </c>
      <c r="N41" s="1">
        <v>3</v>
      </c>
      <c r="O41" s="1" t="s">
        <v>23</v>
      </c>
    </row>
    <row r="42" spans="1:15" x14ac:dyDescent="0.3">
      <c r="A42" s="1">
        <v>41</v>
      </c>
      <c r="B42" s="1" t="s">
        <v>82</v>
      </c>
      <c r="C42" s="1" t="s">
        <v>71</v>
      </c>
      <c r="D42" s="1" t="s">
        <v>49</v>
      </c>
      <c r="E42" s="1">
        <v>41</v>
      </c>
      <c r="F42" s="1" t="s">
        <v>26</v>
      </c>
      <c r="G42" s="1" t="s">
        <v>46</v>
      </c>
      <c r="H42" s="1">
        <v>28711</v>
      </c>
      <c r="I42" s="2">
        <v>45362</v>
      </c>
      <c r="J42" s="1" t="s">
        <v>101</v>
      </c>
      <c r="K42" s="1" t="s">
        <v>21</v>
      </c>
      <c r="L42" s="1">
        <v>9</v>
      </c>
      <c r="M42" s="1" t="s">
        <v>39</v>
      </c>
      <c r="N42" s="1">
        <v>3</v>
      </c>
      <c r="O42" s="1" t="s">
        <v>35</v>
      </c>
    </row>
    <row r="43" spans="1:15" x14ac:dyDescent="0.3">
      <c r="A43" s="1">
        <v>42</v>
      </c>
      <c r="B43" s="1" t="s">
        <v>75</v>
      </c>
      <c r="C43" s="1" t="s">
        <v>64</v>
      </c>
      <c r="D43" s="1" t="s">
        <v>49</v>
      </c>
      <c r="E43" s="1">
        <v>24</v>
      </c>
      <c r="F43" s="1" t="s">
        <v>76</v>
      </c>
      <c r="G43" s="1" t="s">
        <v>57</v>
      </c>
      <c r="H43" s="1">
        <v>42182</v>
      </c>
      <c r="I43" s="2">
        <v>45390</v>
      </c>
      <c r="J43" s="1" t="s">
        <v>102</v>
      </c>
      <c r="K43" s="1" t="s">
        <v>21</v>
      </c>
      <c r="L43" s="1">
        <v>8</v>
      </c>
      <c r="M43" s="1" t="s">
        <v>39</v>
      </c>
      <c r="N43" s="1">
        <v>9</v>
      </c>
      <c r="O43" s="1" t="s">
        <v>23</v>
      </c>
    </row>
    <row r="44" spans="1:15" x14ac:dyDescent="0.3">
      <c r="A44" s="1">
        <v>43</v>
      </c>
      <c r="B44" s="1" t="s">
        <v>51</v>
      </c>
      <c r="C44" s="1" t="s">
        <v>52</v>
      </c>
      <c r="D44" s="1" t="s">
        <v>17</v>
      </c>
      <c r="E44" s="1">
        <v>53</v>
      </c>
      <c r="F44" s="1" t="s">
        <v>45</v>
      </c>
      <c r="G44" s="1" t="s">
        <v>46</v>
      </c>
      <c r="H44" s="1">
        <v>87433</v>
      </c>
      <c r="I44" s="2">
        <v>44230</v>
      </c>
      <c r="J44" s="1" t="s">
        <v>103</v>
      </c>
      <c r="K44" s="1" t="s">
        <v>44</v>
      </c>
      <c r="L44" s="1">
        <v>13</v>
      </c>
      <c r="M44" s="1" t="s">
        <v>30</v>
      </c>
      <c r="N44" s="1">
        <v>1</v>
      </c>
      <c r="O44" s="1" t="s">
        <v>35</v>
      </c>
    </row>
    <row r="45" spans="1:15" x14ac:dyDescent="0.3">
      <c r="A45" s="1">
        <v>44</v>
      </c>
      <c r="B45" s="1" t="s">
        <v>32</v>
      </c>
      <c r="C45" s="1" t="s">
        <v>25</v>
      </c>
      <c r="D45" s="1" t="s">
        <v>17</v>
      </c>
      <c r="E45" s="1">
        <v>35</v>
      </c>
      <c r="F45" s="1" t="s">
        <v>45</v>
      </c>
      <c r="G45" s="1" t="s">
        <v>67</v>
      </c>
      <c r="H45" s="1">
        <v>25166</v>
      </c>
      <c r="I45" s="2">
        <v>45886</v>
      </c>
      <c r="J45" s="1" t="s">
        <v>104</v>
      </c>
      <c r="K45" s="1" t="s">
        <v>86</v>
      </c>
      <c r="L45" s="1">
        <v>10</v>
      </c>
      <c r="M45" s="1" t="s">
        <v>22</v>
      </c>
      <c r="N45" s="1">
        <v>10</v>
      </c>
      <c r="O45" s="1" t="s">
        <v>23</v>
      </c>
    </row>
    <row r="46" spans="1:15" x14ac:dyDescent="0.3">
      <c r="A46" s="1">
        <v>45</v>
      </c>
      <c r="B46" s="1" t="s">
        <v>51</v>
      </c>
      <c r="C46" s="1" t="s">
        <v>59</v>
      </c>
      <c r="D46" s="1" t="s">
        <v>49</v>
      </c>
      <c r="E46" s="1">
        <v>27</v>
      </c>
      <c r="F46" s="1" t="s">
        <v>18</v>
      </c>
      <c r="G46" s="1" t="s">
        <v>37</v>
      </c>
      <c r="H46" s="1">
        <v>36681</v>
      </c>
      <c r="I46" s="2">
        <v>45580</v>
      </c>
      <c r="J46" s="1" t="s">
        <v>105</v>
      </c>
      <c r="K46" s="1" t="s">
        <v>54</v>
      </c>
      <c r="L46" s="1">
        <v>5</v>
      </c>
      <c r="M46" s="1" t="s">
        <v>39</v>
      </c>
      <c r="N46" s="1">
        <v>3</v>
      </c>
      <c r="O46" s="1" t="s">
        <v>31</v>
      </c>
    </row>
    <row r="47" spans="1:15" x14ac:dyDescent="0.3">
      <c r="A47" s="1">
        <v>46</v>
      </c>
      <c r="B47" s="1" t="s">
        <v>40</v>
      </c>
      <c r="C47" s="1" t="s">
        <v>36</v>
      </c>
      <c r="D47" s="1" t="s">
        <v>49</v>
      </c>
      <c r="E47" s="1">
        <v>23</v>
      </c>
      <c r="F47" s="1" t="s">
        <v>42</v>
      </c>
      <c r="G47" s="1" t="s">
        <v>19</v>
      </c>
      <c r="H47" s="1">
        <v>51130</v>
      </c>
      <c r="I47" s="2">
        <v>42984</v>
      </c>
      <c r="J47" s="1" t="s">
        <v>106</v>
      </c>
      <c r="K47" s="1" t="s">
        <v>34</v>
      </c>
      <c r="L47" s="1">
        <v>8</v>
      </c>
      <c r="M47" s="1" t="s">
        <v>39</v>
      </c>
      <c r="N47" s="1">
        <v>8</v>
      </c>
      <c r="O47" s="1" t="s">
        <v>23</v>
      </c>
    </row>
    <row r="48" spans="1:15" x14ac:dyDescent="0.3">
      <c r="A48" s="1">
        <v>47</v>
      </c>
      <c r="B48" s="1" t="s">
        <v>24</v>
      </c>
      <c r="C48" s="1" t="s">
        <v>64</v>
      </c>
      <c r="D48" s="1" t="s">
        <v>49</v>
      </c>
      <c r="E48" s="1">
        <v>50</v>
      </c>
      <c r="F48" s="1" t="s">
        <v>26</v>
      </c>
      <c r="G48" s="1" t="s">
        <v>46</v>
      </c>
      <c r="H48" s="1">
        <v>97736</v>
      </c>
      <c r="I48" s="2">
        <v>45325</v>
      </c>
      <c r="J48" s="1" t="s">
        <v>107</v>
      </c>
      <c r="K48" s="1" t="s">
        <v>86</v>
      </c>
      <c r="L48" s="1">
        <v>15</v>
      </c>
      <c r="M48" s="1" t="s">
        <v>22</v>
      </c>
      <c r="N48" s="1">
        <v>1</v>
      </c>
      <c r="O48" s="1" t="s">
        <v>23</v>
      </c>
    </row>
    <row r="49" spans="1:15" x14ac:dyDescent="0.3">
      <c r="A49" s="1">
        <v>48</v>
      </c>
      <c r="B49" s="1" t="s">
        <v>40</v>
      </c>
      <c r="C49" s="1" t="s">
        <v>41</v>
      </c>
      <c r="D49" s="1" t="s">
        <v>17</v>
      </c>
      <c r="E49" s="1">
        <v>31</v>
      </c>
      <c r="F49" s="1" t="s">
        <v>45</v>
      </c>
      <c r="G49" s="1" t="s">
        <v>19</v>
      </c>
      <c r="H49" s="1">
        <v>109527</v>
      </c>
      <c r="I49" s="2">
        <v>43567</v>
      </c>
      <c r="J49" s="1" t="s">
        <v>108</v>
      </c>
      <c r="K49" s="1" t="s">
        <v>54</v>
      </c>
      <c r="L49" s="1">
        <v>13</v>
      </c>
      <c r="M49" s="1" t="s">
        <v>30</v>
      </c>
      <c r="N49" s="1">
        <v>4</v>
      </c>
      <c r="O49" s="1" t="s">
        <v>31</v>
      </c>
    </row>
    <row r="50" spans="1:15" x14ac:dyDescent="0.3">
      <c r="A50" s="1">
        <v>49</v>
      </c>
      <c r="B50" s="1" t="s">
        <v>63</v>
      </c>
      <c r="C50" s="1" t="s">
        <v>69</v>
      </c>
      <c r="D50" s="1" t="s">
        <v>17</v>
      </c>
      <c r="E50" s="1">
        <v>46</v>
      </c>
      <c r="F50" s="1" t="s">
        <v>26</v>
      </c>
      <c r="G50" s="1" t="s">
        <v>37</v>
      </c>
      <c r="H50" s="1">
        <v>107110</v>
      </c>
      <c r="I50" s="2">
        <v>45371</v>
      </c>
      <c r="J50" s="1" t="s">
        <v>109</v>
      </c>
      <c r="K50" s="1" t="s">
        <v>34</v>
      </c>
      <c r="L50" s="1">
        <v>4</v>
      </c>
      <c r="M50" s="1" t="s">
        <v>30</v>
      </c>
      <c r="N50" s="1">
        <v>4</v>
      </c>
      <c r="O50" s="1" t="s">
        <v>23</v>
      </c>
    </row>
    <row r="51" spans="1:15" x14ac:dyDescent="0.3">
      <c r="A51" s="1">
        <v>50</v>
      </c>
      <c r="B51" s="1" t="s">
        <v>24</v>
      </c>
      <c r="C51" s="1" t="s">
        <v>16</v>
      </c>
      <c r="D51" s="1" t="s">
        <v>17</v>
      </c>
      <c r="E51" s="1">
        <v>44</v>
      </c>
      <c r="F51" s="1" t="s">
        <v>26</v>
      </c>
      <c r="G51" s="1" t="s">
        <v>67</v>
      </c>
      <c r="H51" s="1">
        <v>146349</v>
      </c>
      <c r="I51" s="2">
        <v>45935</v>
      </c>
      <c r="J51" s="1" t="s">
        <v>110</v>
      </c>
      <c r="K51" s="1" t="s">
        <v>54</v>
      </c>
      <c r="L51" s="1">
        <v>15</v>
      </c>
      <c r="M51" s="1" t="s">
        <v>22</v>
      </c>
      <c r="N51" s="1">
        <v>10</v>
      </c>
      <c r="O51" s="1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4668F-FAAD-48B8-BEBA-C240DD5E1D75}">
  <dimension ref="B2:O43"/>
  <sheetViews>
    <sheetView topLeftCell="A10" zoomScaleNormal="100" workbookViewId="0">
      <selection activeCell="P27" sqref="P27"/>
    </sheetView>
  </sheetViews>
  <sheetFormatPr defaultRowHeight="14.4" x14ac:dyDescent="0.3"/>
  <cols>
    <col min="12" max="12" width="6.109375" bestFit="1" customWidth="1"/>
    <col min="13" max="13" width="27.44140625" bestFit="1" customWidth="1"/>
    <col min="14" max="14" width="16.77734375" bestFit="1" customWidth="1"/>
  </cols>
  <sheetData>
    <row r="2" spans="2:14" ht="18" x14ac:dyDescent="0.3">
      <c r="B2" s="13" t="s">
        <v>172</v>
      </c>
      <c r="L2" s="20" t="s">
        <v>206</v>
      </c>
      <c r="M2" s="20" t="s">
        <v>204</v>
      </c>
      <c r="N2" s="20" t="s">
        <v>205</v>
      </c>
    </row>
    <row r="3" spans="2:14" x14ac:dyDescent="0.3">
      <c r="B3" s="14"/>
      <c r="L3" s="18">
        <v>25</v>
      </c>
      <c r="M3" s="18" t="str">
        <f>VLOOKUP(L3,Data1!A2:O51,2,0)</f>
        <v>Anjali</v>
      </c>
      <c r="N3" s="18" t="str">
        <f>VLOOKUP(L3,Data1!A2:O51,3,0)</f>
        <v>Reddy</v>
      </c>
    </row>
    <row r="4" spans="2:14" x14ac:dyDescent="0.3">
      <c r="B4" s="14" t="s">
        <v>173</v>
      </c>
      <c r="L4" s="16"/>
      <c r="M4" s="16"/>
      <c r="N4" s="16"/>
    </row>
    <row r="5" spans="2:14" x14ac:dyDescent="0.3">
      <c r="B5" s="14"/>
      <c r="L5" s="20" t="s">
        <v>206</v>
      </c>
      <c r="M5" s="20" t="s">
        <v>5</v>
      </c>
      <c r="N5" s="16"/>
    </row>
    <row r="6" spans="2:14" x14ac:dyDescent="0.3">
      <c r="B6" s="14" t="s">
        <v>174</v>
      </c>
      <c r="L6" s="18">
        <v>14</v>
      </c>
      <c r="M6" s="18" t="str">
        <f>VLOOKUP(L6,Data1!A2:O51,6,0)</f>
        <v>IT</v>
      </c>
      <c r="N6" s="16"/>
    </row>
    <row r="7" spans="2:14" x14ac:dyDescent="0.3">
      <c r="B7" s="14"/>
      <c r="L7" s="16"/>
      <c r="M7" s="16"/>
      <c r="N7" s="16"/>
    </row>
    <row r="8" spans="2:14" x14ac:dyDescent="0.3">
      <c r="B8" s="14" t="s">
        <v>175</v>
      </c>
      <c r="L8" s="20" t="s">
        <v>206</v>
      </c>
      <c r="M8" s="20" t="s">
        <v>7</v>
      </c>
      <c r="N8" s="16"/>
    </row>
    <row r="9" spans="2:14" x14ac:dyDescent="0.3">
      <c r="B9" s="14"/>
      <c r="L9" s="18">
        <v>40</v>
      </c>
      <c r="M9" s="18">
        <f>VLOOKUP(L9,Data1!A2:O51,8,0)</f>
        <v>115145</v>
      </c>
      <c r="N9" s="16"/>
    </row>
    <row r="10" spans="2:14" x14ac:dyDescent="0.3">
      <c r="B10" s="14" t="s">
        <v>176</v>
      </c>
      <c r="L10" s="16"/>
      <c r="M10" s="16"/>
      <c r="N10" s="16"/>
    </row>
    <row r="11" spans="2:14" x14ac:dyDescent="0.3">
      <c r="B11" s="14"/>
      <c r="L11" s="20" t="s">
        <v>206</v>
      </c>
      <c r="M11" s="20" t="s">
        <v>10</v>
      </c>
      <c r="N11" s="16"/>
    </row>
    <row r="12" spans="2:14" x14ac:dyDescent="0.3">
      <c r="B12" s="14" t="s">
        <v>177</v>
      </c>
      <c r="L12" s="18">
        <v>7</v>
      </c>
      <c r="M12" s="18" t="str">
        <f>VLOOKUP(L12,Data1!A2:O51,11,0)</f>
        <v>Hyderabad</v>
      </c>
      <c r="N12" s="16"/>
    </row>
    <row r="13" spans="2:14" x14ac:dyDescent="0.3">
      <c r="B13" s="14"/>
    </row>
    <row r="14" spans="2:14" x14ac:dyDescent="0.3">
      <c r="B14" s="14" t="s">
        <v>178</v>
      </c>
      <c r="L14" s="20" t="s">
        <v>206</v>
      </c>
      <c r="M14" s="20" t="s">
        <v>207</v>
      </c>
      <c r="N14" s="20" t="s">
        <v>208</v>
      </c>
    </row>
    <row r="15" spans="2:14" x14ac:dyDescent="0.3">
      <c r="B15" s="14"/>
      <c r="L15" s="18">
        <v>32</v>
      </c>
      <c r="M15" s="18" t="str">
        <f>VLOOKUP(L15,Data1!A2:O51,7,0)</f>
        <v>Manager</v>
      </c>
      <c r="N15" s="18" t="str">
        <f>VLOOKUP(L15,Data1!A2:O51,13,0)</f>
        <v>Part-Time</v>
      </c>
    </row>
    <row r="16" spans="2:14" x14ac:dyDescent="0.3">
      <c r="B16" s="14" t="s">
        <v>179</v>
      </c>
    </row>
    <row r="17" spans="2:14" x14ac:dyDescent="0.3">
      <c r="B17" s="14"/>
      <c r="L17" s="20" t="s">
        <v>206</v>
      </c>
      <c r="M17" s="20" t="s">
        <v>13</v>
      </c>
    </row>
    <row r="18" spans="2:14" x14ac:dyDescent="0.3">
      <c r="B18" s="14" t="s">
        <v>180</v>
      </c>
      <c r="L18" s="18">
        <v>13</v>
      </c>
      <c r="M18" s="18">
        <f>VLOOKUP(L18,Data1!A2:O51,14,0)</f>
        <v>10</v>
      </c>
    </row>
    <row r="19" spans="2:14" x14ac:dyDescent="0.3">
      <c r="B19" s="14"/>
    </row>
    <row r="20" spans="2:14" x14ac:dyDescent="0.3">
      <c r="B20" s="14" t="s">
        <v>181</v>
      </c>
      <c r="L20" s="20" t="s">
        <v>206</v>
      </c>
      <c r="M20" s="20" t="s">
        <v>209</v>
      </c>
    </row>
    <row r="21" spans="2:14" x14ac:dyDescent="0.3">
      <c r="B21" s="14"/>
      <c r="L21" s="18">
        <v>5</v>
      </c>
      <c r="M21" s="18">
        <f>VLOOKUP(L21,Data1!A2:O51,9,0)</f>
        <v>45144</v>
      </c>
    </row>
    <row r="22" spans="2:14" x14ac:dyDescent="0.3">
      <c r="B22" s="14" t="s">
        <v>182</v>
      </c>
    </row>
    <row r="23" spans="2:14" x14ac:dyDescent="0.3">
      <c r="L23" s="20" t="s">
        <v>210</v>
      </c>
      <c r="M23" s="20" t="s">
        <v>11</v>
      </c>
    </row>
    <row r="24" spans="2:14" x14ac:dyDescent="0.3">
      <c r="B24" t="s">
        <v>194</v>
      </c>
      <c r="L24" s="18">
        <v>30</v>
      </c>
      <c r="M24" s="18">
        <f>VLOOKUP(L24,Data1!A2:O51,12,0)</f>
        <v>20</v>
      </c>
    </row>
    <row r="26" spans="2:14" x14ac:dyDescent="0.3">
      <c r="B26" t="s">
        <v>195</v>
      </c>
      <c r="L26" s="20" t="s">
        <v>206</v>
      </c>
      <c r="M26" s="20" t="s">
        <v>9</v>
      </c>
      <c r="N26" s="20" t="s">
        <v>5</v>
      </c>
    </row>
    <row r="27" spans="2:14" x14ac:dyDescent="0.3">
      <c r="L27" s="18">
        <v>47</v>
      </c>
      <c r="M27" s="18" t="str">
        <f>VLOOKUP(L27,Data1!A2:O51,10,0)</f>
        <v>arjun.sharma47@company.com</v>
      </c>
      <c r="N27" s="18" t="str">
        <f>VLOOKUP(L27,Data1!A2:O51,6,0)</f>
        <v>Finance</v>
      </c>
    </row>
    <row r="28" spans="2:14" x14ac:dyDescent="0.3">
      <c r="B28" t="s">
        <v>196</v>
      </c>
    </row>
    <row r="30" spans="2:14" x14ac:dyDescent="0.3">
      <c r="B30" t="s">
        <v>197</v>
      </c>
      <c r="M30" s="20" t="s">
        <v>9</v>
      </c>
      <c r="N30" s="20" t="s">
        <v>5</v>
      </c>
    </row>
    <row r="31" spans="2:14" x14ac:dyDescent="0.3">
      <c r="M31" s="19" t="s">
        <v>211</v>
      </c>
      <c r="N31" s="17"/>
    </row>
    <row r="32" spans="2:14" x14ac:dyDescent="0.3">
      <c r="B32" t="s">
        <v>198</v>
      </c>
    </row>
    <row r="33" spans="13:15" x14ac:dyDescent="0.3">
      <c r="M33" s="20" t="s">
        <v>9</v>
      </c>
      <c r="N33" s="20" t="s">
        <v>207</v>
      </c>
      <c r="O33" s="20" t="s">
        <v>7</v>
      </c>
    </row>
    <row r="34" spans="13:15" x14ac:dyDescent="0.3">
      <c r="M34" s="19" t="s">
        <v>60</v>
      </c>
      <c r="N34" s="17"/>
      <c r="O34" s="19"/>
    </row>
    <row r="36" spans="13:15" x14ac:dyDescent="0.3">
      <c r="M36" s="20" t="s">
        <v>9</v>
      </c>
      <c r="N36" s="20" t="s">
        <v>10</v>
      </c>
      <c r="O36" s="20" t="s">
        <v>208</v>
      </c>
    </row>
    <row r="37" spans="13:15" x14ac:dyDescent="0.3">
      <c r="M37" s="19" t="s">
        <v>92</v>
      </c>
      <c r="N37" s="17"/>
      <c r="O37" s="19"/>
    </row>
    <row r="39" spans="13:15" x14ac:dyDescent="0.3">
      <c r="M39" s="20" t="s">
        <v>9</v>
      </c>
      <c r="N39" s="20" t="s">
        <v>13</v>
      </c>
    </row>
    <row r="40" spans="13:15" x14ac:dyDescent="0.3">
      <c r="M40" s="19" t="s">
        <v>102</v>
      </c>
      <c r="N40" s="17"/>
    </row>
    <row r="42" spans="13:15" x14ac:dyDescent="0.3">
      <c r="M42" s="20" t="s">
        <v>9</v>
      </c>
      <c r="N42" s="20" t="s">
        <v>14</v>
      </c>
      <c r="O42" s="20" t="s">
        <v>212</v>
      </c>
    </row>
    <row r="43" spans="13:15" x14ac:dyDescent="0.3">
      <c r="M43" s="19" t="s">
        <v>110</v>
      </c>
      <c r="N43" s="17"/>
      <c r="O43" s="19"/>
    </row>
  </sheetData>
  <hyperlinks>
    <hyperlink ref="M31" r:id="rId1" xr:uid="{BAE03113-B150-4AEF-87F4-F46C64D80505}"/>
    <hyperlink ref="M34" r:id="rId2" xr:uid="{75D5BDF9-C7C6-4EE5-8504-A0FA0FE34F98}"/>
    <hyperlink ref="M37" r:id="rId3" xr:uid="{4CCB45B4-4DAD-4648-91D2-3564026052D7}"/>
    <hyperlink ref="M40" r:id="rId4" xr:uid="{EB3C6966-6CE1-48DB-B025-5CFBE6C7DAB6}"/>
    <hyperlink ref="M43" r:id="rId5" xr:uid="{3C6C979D-79BF-4C69-96BF-C3A3380FD4B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D0DE8-A34A-494E-AA17-089C43CCFCB2}">
  <dimension ref="A1:J31"/>
  <sheetViews>
    <sheetView zoomScale="130" zoomScaleNormal="130" workbookViewId="0">
      <pane ySplit="1" topLeftCell="A2" activePane="bottomLeft" state="frozen"/>
      <selection pane="bottomLeft" activeCell="M36" sqref="M36"/>
    </sheetView>
  </sheetViews>
  <sheetFormatPr defaultRowHeight="14.4" x14ac:dyDescent="0.3"/>
  <cols>
    <col min="1" max="1" width="7.44140625" customWidth="1"/>
    <col min="2" max="2" width="11.109375" customWidth="1"/>
    <col min="3" max="3" width="16.109375" bestFit="1" customWidth="1"/>
    <col min="4" max="4" width="13.77734375" customWidth="1"/>
    <col min="5" max="5" width="10.44140625" bestFit="1" customWidth="1"/>
    <col min="6" max="6" width="8" customWidth="1"/>
    <col min="7" max="7" width="13.33203125" customWidth="1"/>
    <col min="8" max="8" width="9.6640625" customWidth="1"/>
    <col min="9" max="9" width="14.6640625" customWidth="1"/>
    <col min="10" max="10" width="12.21875" customWidth="1"/>
  </cols>
  <sheetData>
    <row r="1" spans="1:10" x14ac:dyDescent="0.3">
      <c r="A1" s="6" t="s">
        <v>111</v>
      </c>
      <c r="B1" s="7" t="s">
        <v>112</v>
      </c>
      <c r="C1" s="7" t="s">
        <v>113</v>
      </c>
      <c r="D1" s="7" t="s">
        <v>114</v>
      </c>
      <c r="E1" s="7" t="s">
        <v>115</v>
      </c>
      <c r="F1" s="7" t="s">
        <v>116</v>
      </c>
      <c r="G1" s="7" t="s">
        <v>117</v>
      </c>
      <c r="H1" s="7" t="s">
        <v>118</v>
      </c>
      <c r="I1" s="7" t="s">
        <v>119</v>
      </c>
      <c r="J1" s="8" t="s">
        <v>120</v>
      </c>
    </row>
    <row r="2" spans="1:10" x14ac:dyDescent="0.3">
      <c r="A2" s="4">
        <v>1</v>
      </c>
      <c r="B2" s="2">
        <v>46023</v>
      </c>
      <c r="C2" s="1" t="s">
        <v>121</v>
      </c>
      <c r="D2" s="1" t="s">
        <v>122</v>
      </c>
      <c r="E2" s="1" t="s">
        <v>123</v>
      </c>
      <c r="F2" s="1" t="s">
        <v>124</v>
      </c>
      <c r="G2" s="1">
        <v>55000</v>
      </c>
      <c r="H2" s="1">
        <v>1</v>
      </c>
      <c r="I2" s="1" t="s">
        <v>125</v>
      </c>
      <c r="J2" s="5" t="s">
        <v>15</v>
      </c>
    </row>
    <row r="3" spans="1:10" x14ac:dyDescent="0.3">
      <c r="A3" s="4">
        <v>2</v>
      </c>
      <c r="B3" s="2">
        <v>46024</v>
      </c>
      <c r="C3" s="1" t="s">
        <v>126</v>
      </c>
      <c r="D3" s="1" t="s">
        <v>127</v>
      </c>
      <c r="E3" s="1" t="s">
        <v>123</v>
      </c>
      <c r="F3" s="1" t="s">
        <v>128</v>
      </c>
      <c r="G3" s="1">
        <v>25000</v>
      </c>
      <c r="H3" s="1">
        <v>1</v>
      </c>
      <c r="I3" s="1" t="s">
        <v>129</v>
      </c>
      <c r="J3" s="5" t="s">
        <v>48</v>
      </c>
    </row>
    <row r="4" spans="1:10" x14ac:dyDescent="0.3">
      <c r="A4" s="4">
        <v>3</v>
      </c>
      <c r="B4" s="2">
        <v>46025</v>
      </c>
      <c r="C4" s="1" t="s">
        <v>130</v>
      </c>
      <c r="D4" s="1" t="s">
        <v>131</v>
      </c>
      <c r="E4" s="1" t="s">
        <v>132</v>
      </c>
      <c r="F4" s="1" t="s">
        <v>133</v>
      </c>
      <c r="G4" s="1">
        <v>4000</v>
      </c>
      <c r="H4" s="1">
        <v>2</v>
      </c>
      <c r="I4" s="1" t="s">
        <v>134</v>
      </c>
      <c r="J4" s="5" t="s">
        <v>80</v>
      </c>
    </row>
    <row r="5" spans="1:10" x14ac:dyDescent="0.3">
      <c r="A5" s="4">
        <v>4</v>
      </c>
      <c r="B5" s="2">
        <v>46026</v>
      </c>
      <c r="C5" s="1" t="s">
        <v>135</v>
      </c>
      <c r="D5" s="1" t="s">
        <v>136</v>
      </c>
      <c r="E5" s="1" t="s">
        <v>132</v>
      </c>
      <c r="F5" s="1" t="s">
        <v>137</v>
      </c>
      <c r="G5" s="1">
        <v>3000</v>
      </c>
      <c r="H5" s="1">
        <v>2</v>
      </c>
      <c r="I5" s="1" t="s">
        <v>129</v>
      </c>
      <c r="J5" s="5" t="s">
        <v>63</v>
      </c>
    </row>
    <row r="6" spans="1:10" x14ac:dyDescent="0.3">
      <c r="A6" s="4">
        <v>5</v>
      </c>
      <c r="B6" s="2">
        <v>46027</v>
      </c>
      <c r="C6" s="1" t="s">
        <v>138</v>
      </c>
      <c r="D6" s="1" t="s">
        <v>139</v>
      </c>
      <c r="E6" s="1" t="s">
        <v>132</v>
      </c>
      <c r="F6" s="1" t="s">
        <v>124</v>
      </c>
      <c r="G6" s="1">
        <v>2400</v>
      </c>
      <c r="H6" s="1">
        <v>3</v>
      </c>
      <c r="I6" s="1" t="s">
        <v>125</v>
      </c>
      <c r="J6" s="5" t="s">
        <v>24</v>
      </c>
    </row>
    <row r="7" spans="1:10" x14ac:dyDescent="0.3">
      <c r="A7" s="4">
        <v>6</v>
      </c>
      <c r="B7" s="2">
        <v>46028</v>
      </c>
      <c r="C7" s="1" t="s">
        <v>140</v>
      </c>
      <c r="D7" s="1" t="s">
        <v>141</v>
      </c>
      <c r="E7" s="1" t="s">
        <v>123</v>
      </c>
      <c r="F7" s="1" t="s">
        <v>128</v>
      </c>
      <c r="G7" s="1">
        <v>30000</v>
      </c>
      <c r="H7" s="1">
        <v>2</v>
      </c>
      <c r="I7" s="1" t="s">
        <v>142</v>
      </c>
      <c r="J7" s="5" t="s">
        <v>51</v>
      </c>
    </row>
    <row r="8" spans="1:10" x14ac:dyDescent="0.3">
      <c r="A8" s="4">
        <v>7</v>
      </c>
      <c r="B8" s="2">
        <v>46029</v>
      </c>
      <c r="C8" s="1" t="s">
        <v>143</v>
      </c>
      <c r="D8" s="1" t="s">
        <v>144</v>
      </c>
      <c r="E8" s="1" t="s">
        <v>123</v>
      </c>
      <c r="F8" s="1" t="s">
        <v>133</v>
      </c>
      <c r="G8" s="1">
        <v>9000</v>
      </c>
      <c r="H8" s="1">
        <v>1</v>
      </c>
      <c r="I8" s="1" t="s">
        <v>134</v>
      </c>
      <c r="J8" s="5" t="s">
        <v>32</v>
      </c>
    </row>
    <row r="9" spans="1:10" x14ac:dyDescent="0.3">
      <c r="A9" s="4">
        <v>8</v>
      </c>
      <c r="B9" s="2">
        <v>46030</v>
      </c>
      <c r="C9" s="1" t="s">
        <v>145</v>
      </c>
      <c r="D9" s="1" t="s">
        <v>146</v>
      </c>
      <c r="E9" s="1" t="s">
        <v>123</v>
      </c>
      <c r="F9" s="1" t="s">
        <v>137</v>
      </c>
      <c r="G9" s="1">
        <v>18000</v>
      </c>
      <c r="H9" s="1">
        <v>1</v>
      </c>
      <c r="I9" s="1" t="s">
        <v>129</v>
      </c>
      <c r="J9" s="5" t="s">
        <v>40</v>
      </c>
    </row>
    <row r="10" spans="1:10" x14ac:dyDescent="0.3">
      <c r="A10" s="4">
        <v>9</v>
      </c>
      <c r="B10" s="2">
        <v>46031</v>
      </c>
      <c r="C10" s="1" t="s">
        <v>147</v>
      </c>
      <c r="D10" s="1" t="s">
        <v>148</v>
      </c>
      <c r="E10" s="1" t="s">
        <v>149</v>
      </c>
      <c r="F10" s="1" t="s">
        <v>124</v>
      </c>
      <c r="G10" s="1">
        <v>7000</v>
      </c>
      <c r="H10" s="1">
        <v>1</v>
      </c>
      <c r="I10" s="1" t="s">
        <v>125</v>
      </c>
      <c r="J10" s="5" t="s">
        <v>15</v>
      </c>
    </row>
    <row r="11" spans="1:10" x14ac:dyDescent="0.3">
      <c r="A11" s="4">
        <v>10</v>
      </c>
      <c r="B11" s="2">
        <v>46032</v>
      </c>
      <c r="C11" s="1" t="s">
        <v>150</v>
      </c>
      <c r="D11" s="1" t="s">
        <v>151</v>
      </c>
      <c r="E11" s="1" t="s">
        <v>149</v>
      </c>
      <c r="F11" s="1" t="s">
        <v>128</v>
      </c>
      <c r="G11" s="1">
        <v>12000</v>
      </c>
      <c r="H11" s="1">
        <v>1</v>
      </c>
      <c r="I11" s="1" t="s">
        <v>142</v>
      </c>
      <c r="J11" s="5" t="s">
        <v>48</v>
      </c>
    </row>
    <row r="12" spans="1:10" x14ac:dyDescent="0.3">
      <c r="A12" s="4">
        <v>11</v>
      </c>
      <c r="B12" s="2">
        <v>46033</v>
      </c>
      <c r="C12" s="1" t="s">
        <v>152</v>
      </c>
      <c r="D12" s="1" t="s">
        <v>122</v>
      </c>
      <c r="E12" s="1" t="s">
        <v>123</v>
      </c>
      <c r="F12" s="1" t="s">
        <v>133</v>
      </c>
      <c r="G12" s="1">
        <v>55000</v>
      </c>
      <c r="H12" s="1">
        <v>1</v>
      </c>
      <c r="I12" s="1" t="s">
        <v>129</v>
      </c>
      <c r="J12" s="5" t="s">
        <v>80</v>
      </c>
    </row>
    <row r="13" spans="1:10" x14ac:dyDescent="0.3">
      <c r="A13" s="4">
        <v>12</v>
      </c>
      <c r="B13" s="2">
        <v>46034</v>
      </c>
      <c r="C13" s="1" t="s">
        <v>153</v>
      </c>
      <c r="D13" s="1" t="s">
        <v>127</v>
      </c>
      <c r="E13" s="1" t="s">
        <v>123</v>
      </c>
      <c r="F13" s="1" t="s">
        <v>137</v>
      </c>
      <c r="G13" s="1">
        <v>50000</v>
      </c>
      <c r="H13" s="1">
        <v>2</v>
      </c>
      <c r="I13" s="1" t="s">
        <v>125</v>
      </c>
      <c r="J13" s="5" t="s">
        <v>63</v>
      </c>
    </row>
    <row r="14" spans="1:10" x14ac:dyDescent="0.3">
      <c r="A14" s="4">
        <v>13</v>
      </c>
      <c r="B14" s="2">
        <v>46035</v>
      </c>
      <c r="C14" s="1" t="s">
        <v>154</v>
      </c>
      <c r="D14" s="1" t="s">
        <v>131</v>
      </c>
      <c r="E14" s="1" t="s">
        <v>132</v>
      </c>
      <c r="F14" s="1" t="s">
        <v>124</v>
      </c>
      <c r="G14" s="1">
        <v>6000</v>
      </c>
      <c r="H14" s="1">
        <v>3</v>
      </c>
      <c r="I14" s="1" t="s">
        <v>134</v>
      </c>
      <c r="J14" s="5" t="s">
        <v>24</v>
      </c>
    </row>
    <row r="15" spans="1:10" x14ac:dyDescent="0.3">
      <c r="A15" s="4">
        <v>14</v>
      </c>
      <c r="B15" s="2">
        <v>46036</v>
      </c>
      <c r="C15" s="1" t="s">
        <v>155</v>
      </c>
      <c r="D15" s="1" t="s">
        <v>136</v>
      </c>
      <c r="E15" s="1" t="s">
        <v>132</v>
      </c>
      <c r="F15" s="1" t="s">
        <v>128</v>
      </c>
      <c r="G15" s="1">
        <v>1500</v>
      </c>
      <c r="H15" s="1">
        <v>1</v>
      </c>
      <c r="I15" s="1" t="s">
        <v>129</v>
      </c>
      <c r="J15" s="5" t="s">
        <v>51</v>
      </c>
    </row>
    <row r="16" spans="1:10" x14ac:dyDescent="0.3">
      <c r="A16" s="4">
        <v>15</v>
      </c>
      <c r="B16" s="2">
        <v>46037</v>
      </c>
      <c r="C16" s="1" t="s">
        <v>156</v>
      </c>
      <c r="D16" s="1" t="s">
        <v>139</v>
      </c>
      <c r="E16" s="1" t="s">
        <v>132</v>
      </c>
      <c r="F16" s="1" t="s">
        <v>133</v>
      </c>
      <c r="G16" s="1">
        <v>3200</v>
      </c>
      <c r="H16" s="1">
        <v>4</v>
      </c>
      <c r="I16" s="1" t="s">
        <v>142</v>
      </c>
      <c r="J16" s="5" t="s">
        <v>32</v>
      </c>
    </row>
    <row r="17" spans="1:10" x14ac:dyDescent="0.3">
      <c r="A17" s="4">
        <v>16</v>
      </c>
      <c r="B17" s="2">
        <v>46038</v>
      </c>
      <c r="C17" s="1" t="s">
        <v>157</v>
      </c>
      <c r="D17" s="1" t="s">
        <v>141</v>
      </c>
      <c r="E17" s="1" t="s">
        <v>123</v>
      </c>
      <c r="F17" s="1" t="s">
        <v>137</v>
      </c>
      <c r="G17" s="1">
        <v>15000</v>
      </c>
      <c r="H17" s="1">
        <v>1</v>
      </c>
      <c r="I17" s="1" t="s">
        <v>125</v>
      </c>
      <c r="J17" s="5" t="s">
        <v>40</v>
      </c>
    </row>
    <row r="18" spans="1:10" x14ac:dyDescent="0.3">
      <c r="A18" s="4">
        <v>17</v>
      </c>
      <c r="B18" s="2">
        <v>46039</v>
      </c>
      <c r="C18" s="1" t="s">
        <v>158</v>
      </c>
      <c r="D18" s="1" t="s">
        <v>144</v>
      </c>
      <c r="E18" s="1" t="s">
        <v>123</v>
      </c>
      <c r="F18" s="1" t="s">
        <v>124</v>
      </c>
      <c r="G18" s="1">
        <v>18000</v>
      </c>
      <c r="H18" s="1">
        <v>2</v>
      </c>
      <c r="I18" s="1" t="s">
        <v>129</v>
      </c>
      <c r="J18" s="5" t="s">
        <v>15</v>
      </c>
    </row>
    <row r="19" spans="1:10" x14ac:dyDescent="0.3">
      <c r="A19" s="4">
        <v>18</v>
      </c>
      <c r="B19" s="2">
        <v>46040</v>
      </c>
      <c r="C19" s="1" t="s">
        <v>159</v>
      </c>
      <c r="D19" s="1" t="s">
        <v>146</v>
      </c>
      <c r="E19" s="1" t="s">
        <v>123</v>
      </c>
      <c r="F19" s="1" t="s">
        <v>128</v>
      </c>
      <c r="G19" s="1">
        <v>36000</v>
      </c>
      <c r="H19" s="1">
        <v>2</v>
      </c>
      <c r="I19" s="1" t="s">
        <v>142</v>
      </c>
      <c r="J19" s="5" t="s">
        <v>48</v>
      </c>
    </row>
    <row r="20" spans="1:10" x14ac:dyDescent="0.3">
      <c r="A20" s="4">
        <v>19</v>
      </c>
      <c r="B20" s="2">
        <v>46041</v>
      </c>
      <c r="C20" s="1" t="s">
        <v>160</v>
      </c>
      <c r="D20" s="1" t="s">
        <v>148</v>
      </c>
      <c r="E20" s="1" t="s">
        <v>149</v>
      </c>
      <c r="F20" s="1" t="s">
        <v>133</v>
      </c>
      <c r="G20" s="1">
        <v>14000</v>
      </c>
      <c r="H20" s="1">
        <v>2</v>
      </c>
      <c r="I20" s="1" t="s">
        <v>134</v>
      </c>
      <c r="J20" s="5" t="s">
        <v>80</v>
      </c>
    </row>
    <row r="21" spans="1:10" x14ac:dyDescent="0.3">
      <c r="A21" s="4">
        <v>20</v>
      </c>
      <c r="B21" s="2">
        <v>46042</v>
      </c>
      <c r="C21" s="1" t="s">
        <v>161</v>
      </c>
      <c r="D21" s="1" t="s">
        <v>151</v>
      </c>
      <c r="E21" s="1" t="s">
        <v>149</v>
      </c>
      <c r="F21" s="1" t="s">
        <v>137</v>
      </c>
      <c r="G21" s="1">
        <v>24000</v>
      </c>
      <c r="H21" s="1">
        <v>2</v>
      </c>
      <c r="I21" s="1" t="s">
        <v>125</v>
      </c>
      <c r="J21" s="5" t="s">
        <v>63</v>
      </c>
    </row>
    <row r="22" spans="1:10" x14ac:dyDescent="0.3">
      <c r="A22" s="4">
        <v>21</v>
      </c>
      <c r="B22" s="2">
        <v>46043</v>
      </c>
      <c r="C22" s="1" t="s">
        <v>162</v>
      </c>
      <c r="D22" s="1" t="s">
        <v>122</v>
      </c>
      <c r="E22" s="1" t="s">
        <v>123</v>
      </c>
      <c r="F22" s="1" t="s">
        <v>124</v>
      </c>
      <c r="G22" s="1">
        <v>55000</v>
      </c>
      <c r="H22" s="1">
        <v>1</v>
      </c>
      <c r="I22" s="1" t="s">
        <v>129</v>
      </c>
      <c r="J22" s="5" t="s">
        <v>24</v>
      </c>
    </row>
    <row r="23" spans="1:10" x14ac:dyDescent="0.3">
      <c r="A23" s="4">
        <v>22</v>
      </c>
      <c r="B23" s="2">
        <v>46044</v>
      </c>
      <c r="C23" s="1" t="s">
        <v>163</v>
      </c>
      <c r="D23" s="1" t="s">
        <v>127</v>
      </c>
      <c r="E23" s="1" t="s">
        <v>123</v>
      </c>
      <c r="F23" s="1" t="s">
        <v>128</v>
      </c>
      <c r="G23" s="1">
        <v>25000</v>
      </c>
      <c r="H23" s="1">
        <v>1</v>
      </c>
      <c r="I23" s="1" t="s">
        <v>134</v>
      </c>
      <c r="J23" s="5" t="s">
        <v>51</v>
      </c>
    </row>
    <row r="24" spans="1:10" x14ac:dyDescent="0.3">
      <c r="A24" s="4">
        <v>23</v>
      </c>
      <c r="B24" s="2">
        <v>46045</v>
      </c>
      <c r="C24" s="1" t="s">
        <v>164</v>
      </c>
      <c r="D24" s="1" t="s">
        <v>131</v>
      </c>
      <c r="E24" s="1" t="s">
        <v>132</v>
      </c>
      <c r="F24" s="1" t="s">
        <v>133</v>
      </c>
      <c r="G24" s="1">
        <v>2000</v>
      </c>
      <c r="H24" s="1">
        <v>1</v>
      </c>
      <c r="I24" s="1" t="s">
        <v>142</v>
      </c>
      <c r="J24" s="5" t="s">
        <v>32</v>
      </c>
    </row>
    <row r="25" spans="1:10" x14ac:dyDescent="0.3">
      <c r="A25" s="4">
        <v>24</v>
      </c>
      <c r="B25" s="2">
        <v>46046</v>
      </c>
      <c r="C25" s="1" t="s">
        <v>165</v>
      </c>
      <c r="D25" s="1" t="s">
        <v>136</v>
      </c>
      <c r="E25" s="1" t="s">
        <v>132</v>
      </c>
      <c r="F25" s="1" t="s">
        <v>137</v>
      </c>
      <c r="G25" s="1">
        <v>4500</v>
      </c>
      <c r="H25" s="1">
        <v>3</v>
      </c>
      <c r="I25" s="1" t="s">
        <v>125</v>
      </c>
      <c r="J25" s="5" t="s">
        <v>40</v>
      </c>
    </row>
    <row r="26" spans="1:10" x14ac:dyDescent="0.3">
      <c r="A26" s="4">
        <v>25</v>
      </c>
      <c r="B26" s="2">
        <v>46047</v>
      </c>
      <c r="C26" s="1" t="s">
        <v>166</v>
      </c>
      <c r="D26" s="1" t="s">
        <v>139</v>
      </c>
      <c r="E26" s="1" t="s">
        <v>132</v>
      </c>
      <c r="F26" s="1" t="s">
        <v>124</v>
      </c>
      <c r="G26" s="1">
        <v>1600</v>
      </c>
      <c r="H26" s="1">
        <v>2</v>
      </c>
      <c r="I26" s="1" t="s">
        <v>129</v>
      </c>
      <c r="J26" s="5" t="s">
        <v>15</v>
      </c>
    </row>
    <row r="27" spans="1:10" x14ac:dyDescent="0.3">
      <c r="A27" s="4">
        <v>26</v>
      </c>
      <c r="B27" s="2">
        <v>46048</v>
      </c>
      <c r="C27" s="1" t="s">
        <v>167</v>
      </c>
      <c r="D27" s="1" t="s">
        <v>141</v>
      </c>
      <c r="E27" s="1" t="s">
        <v>123</v>
      </c>
      <c r="F27" s="1" t="s">
        <v>128</v>
      </c>
      <c r="G27" s="1">
        <v>30000</v>
      </c>
      <c r="H27" s="1">
        <v>2</v>
      </c>
      <c r="I27" s="1" t="s">
        <v>142</v>
      </c>
      <c r="J27" s="5" t="s">
        <v>48</v>
      </c>
    </row>
    <row r="28" spans="1:10" x14ac:dyDescent="0.3">
      <c r="A28" s="4">
        <v>27</v>
      </c>
      <c r="B28" s="2">
        <v>46049</v>
      </c>
      <c r="C28" s="1" t="s">
        <v>168</v>
      </c>
      <c r="D28" s="1" t="s">
        <v>144</v>
      </c>
      <c r="E28" s="1" t="s">
        <v>123</v>
      </c>
      <c r="F28" s="1" t="s">
        <v>133</v>
      </c>
      <c r="G28" s="1">
        <v>9000</v>
      </c>
      <c r="H28" s="1">
        <v>1</v>
      </c>
      <c r="I28" s="1" t="s">
        <v>134</v>
      </c>
      <c r="J28" s="5" t="s">
        <v>80</v>
      </c>
    </row>
    <row r="29" spans="1:10" x14ac:dyDescent="0.3">
      <c r="A29" s="4">
        <v>28</v>
      </c>
      <c r="B29" s="2">
        <v>46050</v>
      </c>
      <c r="C29" s="1" t="s">
        <v>169</v>
      </c>
      <c r="D29" s="1" t="s">
        <v>146</v>
      </c>
      <c r="E29" s="1" t="s">
        <v>123</v>
      </c>
      <c r="F29" s="1" t="s">
        <v>137</v>
      </c>
      <c r="G29" s="1">
        <v>18000</v>
      </c>
      <c r="H29" s="1">
        <v>1</v>
      </c>
      <c r="I29" s="1" t="s">
        <v>125</v>
      </c>
      <c r="J29" s="5" t="s">
        <v>63</v>
      </c>
    </row>
    <row r="30" spans="1:10" x14ac:dyDescent="0.3">
      <c r="A30" s="4">
        <v>29</v>
      </c>
      <c r="B30" s="2">
        <v>46051</v>
      </c>
      <c r="C30" s="1" t="s">
        <v>170</v>
      </c>
      <c r="D30" s="1" t="s">
        <v>148</v>
      </c>
      <c r="E30" s="1" t="s">
        <v>149</v>
      </c>
      <c r="F30" s="1" t="s">
        <v>124</v>
      </c>
      <c r="G30" s="1">
        <v>7000</v>
      </c>
      <c r="H30" s="1">
        <v>1</v>
      </c>
      <c r="I30" s="1" t="s">
        <v>129</v>
      </c>
      <c r="J30" s="5" t="s">
        <v>24</v>
      </c>
    </row>
    <row r="31" spans="1:10" x14ac:dyDescent="0.3">
      <c r="A31" s="9">
        <v>30</v>
      </c>
      <c r="B31" s="10">
        <v>46052</v>
      </c>
      <c r="C31" s="11" t="s">
        <v>171</v>
      </c>
      <c r="D31" s="11" t="s">
        <v>151</v>
      </c>
      <c r="E31" s="11" t="s">
        <v>149</v>
      </c>
      <c r="F31" s="11" t="s">
        <v>128</v>
      </c>
      <c r="G31" s="11">
        <v>12000</v>
      </c>
      <c r="H31" s="11">
        <v>1</v>
      </c>
      <c r="I31" s="11" t="s">
        <v>142</v>
      </c>
      <c r="J31" s="12" t="s">
        <v>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695A6-5DF7-49B7-A75E-8A02A83AF1AB}">
  <dimension ref="B2:N34"/>
  <sheetViews>
    <sheetView tabSelected="1" workbookViewId="0">
      <selection activeCell="P11" sqref="P11"/>
    </sheetView>
  </sheetViews>
  <sheetFormatPr defaultRowHeight="14.4" x14ac:dyDescent="0.3"/>
  <cols>
    <col min="12" max="12" width="12.21875" bestFit="1" customWidth="1"/>
    <col min="13" max="13" width="13.88671875" bestFit="1" customWidth="1"/>
    <col min="14" max="14" width="13.6640625" bestFit="1" customWidth="1"/>
  </cols>
  <sheetData>
    <row r="2" spans="2:14" ht="23.4" x14ac:dyDescent="0.3">
      <c r="B2" s="15" t="s">
        <v>183</v>
      </c>
    </row>
    <row r="3" spans="2:14" x14ac:dyDescent="0.3">
      <c r="B3" s="14"/>
      <c r="L3" s="20" t="s">
        <v>111</v>
      </c>
      <c r="M3" s="20" t="s">
        <v>113</v>
      </c>
      <c r="N3" s="20" t="s">
        <v>213</v>
      </c>
    </row>
    <row r="4" spans="2:14" x14ac:dyDescent="0.3">
      <c r="B4" s="14" t="s">
        <v>184</v>
      </c>
      <c r="L4" s="18">
        <v>12</v>
      </c>
      <c r="M4" s="18"/>
      <c r="N4" s="18"/>
    </row>
    <row r="5" spans="2:14" x14ac:dyDescent="0.3">
      <c r="B5" s="14"/>
    </row>
    <row r="6" spans="2:14" x14ac:dyDescent="0.3">
      <c r="B6" s="14" t="s">
        <v>185</v>
      </c>
      <c r="L6" s="20" t="s">
        <v>111</v>
      </c>
      <c r="M6" s="20" t="s">
        <v>214</v>
      </c>
      <c r="N6" s="20" t="s">
        <v>118</v>
      </c>
    </row>
    <row r="7" spans="2:14" x14ac:dyDescent="0.3">
      <c r="B7" s="14"/>
      <c r="L7" s="18">
        <v>6</v>
      </c>
      <c r="M7" s="18"/>
      <c r="N7" s="18"/>
    </row>
    <row r="8" spans="2:14" x14ac:dyDescent="0.3">
      <c r="B8" s="14" t="s">
        <v>186</v>
      </c>
    </row>
    <row r="9" spans="2:14" x14ac:dyDescent="0.3">
      <c r="B9" s="14"/>
      <c r="L9" s="20" t="s">
        <v>215</v>
      </c>
      <c r="M9" s="20" t="s">
        <v>116</v>
      </c>
    </row>
    <row r="10" spans="2:14" x14ac:dyDescent="0.3">
      <c r="B10" s="14" t="s">
        <v>187</v>
      </c>
      <c r="L10" s="18">
        <v>19</v>
      </c>
      <c r="M10" s="18"/>
    </row>
    <row r="11" spans="2:14" x14ac:dyDescent="0.3">
      <c r="B11" s="14"/>
    </row>
    <row r="12" spans="2:14" x14ac:dyDescent="0.3">
      <c r="B12" s="14" t="s">
        <v>188</v>
      </c>
      <c r="L12" s="20" t="s">
        <v>111</v>
      </c>
      <c r="M12" s="20" t="s">
        <v>119</v>
      </c>
    </row>
    <row r="13" spans="2:14" x14ac:dyDescent="0.3">
      <c r="B13" s="14"/>
      <c r="L13" s="18">
        <v>25</v>
      </c>
      <c r="M13" s="18"/>
    </row>
    <row r="14" spans="2:14" x14ac:dyDescent="0.3">
      <c r="B14" s="14" t="s">
        <v>189</v>
      </c>
    </row>
    <row r="15" spans="2:14" x14ac:dyDescent="0.3">
      <c r="B15" s="14"/>
      <c r="L15" s="20" t="s">
        <v>111</v>
      </c>
      <c r="M15" s="20" t="s">
        <v>120</v>
      </c>
    </row>
    <row r="16" spans="2:14" x14ac:dyDescent="0.3">
      <c r="B16" s="14" t="s">
        <v>190</v>
      </c>
      <c r="L16" s="18">
        <v>3</v>
      </c>
      <c r="M16" s="18"/>
    </row>
    <row r="17" spans="2:14" x14ac:dyDescent="0.3">
      <c r="B17" s="14"/>
    </row>
    <row r="18" spans="2:14" x14ac:dyDescent="0.3">
      <c r="B18" s="14" t="s">
        <v>191</v>
      </c>
      <c r="L18" s="20" t="s">
        <v>111</v>
      </c>
      <c r="M18" s="20" t="s">
        <v>115</v>
      </c>
      <c r="N18" s="20" t="s">
        <v>117</v>
      </c>
    </row>
    <row r="19" spans="2:14" x14ac:dyDescent="0.3">
      <c r="B19" s="14"/>
      <c r="L19" s="18">
        <v>20</v>
      </c>
      <c r="M19" s="18"/>
      <c r="N19" s="18"/>
    </row>
    <row r="20" spans="2:14" x14ac:dyDescent="0.3">
      <c r="B20" s="14" t="s">
        <v>192</v>
      </c>
    </row>
    <row r="21" spans="2:14" x14ac:dyDescent="0.3">
      <c r="B21" s="14"/>
      <c r="L21" s="20" t="s">
        <v>111</v>
      </c>
      <c r="M21" s="20" t="s">
        <v>112</v>
      </c>
      <c r="N21" s="20" t="s">
        <v>114</v>
      </c>
    </row>
    <row r="22" spans="2:14" x14ac:dyDescent="0.3">
      <c r="B22" s="14" t="s">
        <v>193</v>
      </c>
      <c r="L22" s="18">
        <v>8</v>
      </c>
      <c r="M22" s="18"/>
      <c r="N22" s="18"/>
    </row>
    <row r="23" spans="2:14" ht="16.2" customHeight="1" x14ac:dyDescent="0.3">
      <c r="B23" s="15"/>
    </row>
    <row r="24" spans="2:14" x14ac:dyDescent="0.3">
      <c r="B24" s="14"/>
      <c r="L24" s="20" t="s">
        <v>111</v>
      </c>
      <c r="M24" s="20" t="s">
        <v>113</v>
      </c>
      <c r="N24" s="20" t="s">
        <v>116</v>
      </c>
    </row>
    <row r="25" spans="2:14" x14ac:dyDescent="0.3">
      <c r="B25" s="14" t="s">
        <v>199</v>
      </c>
      <c r="L25" s="18">
        <v>27</v>
      </c>
      <c r="M25" s="18"/>
      <c r="N25" s="18"/>
    </row>
    <row r="26" spans="2:14" x14ac:dyDescent="0.3">
      <c r="B26" s="14"/>
    </row>
    <row r="27" spans="2:14" x14ac:dyDescent="0.3">
      <c r="B27" s="14" t="s">
        <v>200</v>
      </c>
      <c r="L27" s="20" t="s">
        <v>111</v>
      </c>
      <c r="M27" s="20" t="s">
        <v>118</v>
      </c>
      <c r="N27" s="20" t="s">
        <v>119</v>
      </c>
    </row>
    <row r="28" spans="2:14" x14ac:dyDescent="0.3">
      <c r="B28" s="14"/>
      <c r="L28" s="18">
        <v>14</v>
      </c>
      <c r="M28" s="18"/>
      <c r="N28" s="18"/>
    </row>
    <row r="29" spans="2:14" x14ac:dyDescent="0.3">
      <c r="B29" s="14" t="s">
        <v>201</v>
      </c>
    </row>
    <row r="30" spans="2:14" x14ac:dyDescent="0.3">
      <c r="B30" s="14"/>
      <c r="L30" s="20" t="s">
        <v>111</v>
      </c>
      <c r="M30" s="20" t="s">
        <v>120</v>
      </c>
      <c r="N30" s="20" t="s">
        <v>117</v>
      </c>
    </row>
    <row r="31" spans="2:14" x14ac:dyDescent="0.3">
      <c r="B31" s="14" t="s">
        <v>202</v>
      </c>
      <c r="L31" s="18">
        <v>30</v>
      </c>
      <c r="M31" s="18"/>
      <c r="N31" s="18"/>
    </row>
    <row r="32" spans="2:14" x14ac:dyDescent="0.3">
      <c r="B32" s="14"/>
    </row>
    <row r="33" spans="2:13" x14ac:dyDescent="0.3">
      <c r="B33" s="14" t="s">
        <v>203</v>
      </c>
      <c r="L33" s="20" t="s">
        <v>114</v>
      </c>
      <c r="M33" s="20" t="s">
        <v>117</v>
      </c>
    </row>
    <row r="34" spans="2:13" x14ac:dyDescent="0.3">
      <c r="L34" s="18" t="s">
        <v>216</v>
      </c>
      <c r="M34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Data1</vt:lpstr>
      <vt:lpstr>Quetions on Data 1</vt:lpstr>
      <vt:lpstr>Data2</vt:lpstr>
      <vt:lpstr>Quetions on Data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2026-02-18T04:59:46Z</dcterms:created>
  <dcterms:modified xsi:type="dcterms:W3CDTF">2026-02-21T07:03:08Z</dcterms:modified>
</cp:coreProperties>
</file>