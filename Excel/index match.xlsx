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"/>
    </mc:Choice>
  </mc:AlternateContent>
  <xr:revisionPtr revIDLastSave="0" documentId="13_ncr:1_{17BFFCCA-FB7B-4175-8219-5D8BAF99EC08}" xr6:coauthVersionLast="47" xr6:coauthVersionMax="47" xr10:uidLastSave="{00000000-0000-0000-0000-000000000000}"/>
  <bookViews>
    <workbookView xWindow="-108" yWindow="-108" windowWidth="23256" windowHeight="12456" xr2:uid="{1FEF1213-5C6B-40E1-9D8B-A47D6B5A2D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6" i="1" l="1"/>
  <c r="K65" i="1"/>
  <c r="K50" i="1"/>
  <c r="K44" i="1"/>
  <c r="K37" i="1"/>
  <c r="K30" i="1"/>
  <c r="K23" i="1"/>
  <c r="K17" i="1"/>
  <c r="K12" i="1"/>
  <c r="K5" i="1"/>
</calcChain>
</file>

<file path=xl/sharedStrings.xml><?xml version="1.0" encoding="utf-8"?>
<sst xmlns="http://schemas.openxmlformats.org/spreadsheetml/2006/main" count="81" uniqueCount="61">
  <si>
    <t>StudentID</t>
  </si>
  <si>
    <t>StudentName</t>
  </si>
  <si>
    <t>SQL</t>
  </si>
  <si>
    <t>PowerBI</t>
  </si>
  <si>
    <t>Excel</t>
  </si>
  <si>
    <t>Python</t>
  </si>
  <si>
    <t>Statistics</t>
  </si>
  <si>
    <t>Amit Sharma</t>
  </si>
  <si>
    <t>Priya Verma</t>
  </si>
  <si>
    <t>Rahul Patil</t>
  </si>
  <si>
    <t>Sneha Kulkarni</t>
  </si>
  <si>
    <t>Rohit Jadhav</t>
  </si>
  <si>
    <t>Meena Nair</t>
  </si>
  <si>
    <t>Karan Singh</t>
  </si>
  <si>
    <t>Deepa Chavan</t>
  </si>
  <si>
    <t>Vikas More</t>
  </si>
  <si>
    <t>Anita Pawar</t>
  </si>
  <si>
    <t>Suresh Deshmukh</t>
  </si>
  <si>
    <t>Pooja Mali</t>
  </si>
  <si>
    <t>Harsh Yadav</t>
  </si>
  <si>
    <t>Neha Sawant</t>
  </si>
  <si>
    <t>Sameer Shaikh</t>
  </si>
  <si>
    <t>Ritu Goswami</t>
  </si>
  <si>
    <t>Anand Karpe</t>
  </si>
  <si>
    <t>Vidya Kamble</t>
  </si>
  <si>
    <t>Nitin Bhosale</t>
  </si>
  <si>
    <t>Komal Gaikwad</t>
  </si>
  <si>
    <t>sql</t>
  </si>
  <si>
    <t>Subject</t>
  </si>
  <si>
    <t xml:space="preserve">Subject </t>
  </si>
  <si>
    <t>Answer</t>
  </si>
  <si>
    <t>Q1 .</t>
  </si>
  <si>
    <t>When student name and subject is changed then by match function its answer also change</t>
  </si>
  <si>
    <t>Anand karpe</t>
  </si>
  <si>
    <r>
      <t xml:space="preserve">When </t>
    </r>
    <r>
      <rPr>
        <b/>
        <sz val="11"/>
        <color theme="1"/>
        <rFont val="Calibri"/>
        <family val="2"/>
        <scheme val="minor"/>
      </rPr>
      <t>Student Name = "Anand Karpe"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Subject = "SQL"</t>
    </r>
    <r>
      <rPr>
        <sz val="11"/>
        <color theme="1"/>
        <rFont val="Calibri"/>
        <family val="2"/>
        <scheme val="minor"/>
      </rPr>
      <t>, use INDEX–MATCH to find the marks.</t>
    </r>
  </si>
  <si>
    <t xml:space="preserve">    Q2.</t>
  </si>
  <si>
    <r>
      <t xml:space="preserve">Find the </t>
    </r>
    <r>
      <rPr>
        <b/>
        <sz val="11"/>
        <color theme="1"/>
        <rFont val="Calibri"/>
        <family val="2"/>
        <scheme val="minor"/>
      </rPr>
      <t>Excel marks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"Priya Verma"</t>
    </r>
    <r>
      <rPr>
        <sz val="11"/>
        <color theme="1"/>
        <rFont val="Calibri"/>
        <family val="2"/>
        <scheme val="minor"/>
      </rPr>
      <t xml:space="preserve"> using a dynamic INDEX–MATCH formula.</t>
    </r>
  </si>
  <si>
    <r>
      <t xml:space="preserve">Retrieve the </t>
    </r>
    <r>
      <rPr>
        <b/>
        <sz val="11"/>
        <color theme="1"/>
        <rFont val="Calibri"/>
        <family val="2"/>
        <scheme val="minor"/>
      </rPr>
      <t>Python marks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"Ritu Goswami"</t>
    </r>
    <r>
      <rPr>
        <sz val="11"/>
        <color theme="1"/>
        <rFont val="Calibri"/>
        <family val="2"/>
        <scheme val="minor"/>
      </rPr>
      <t xml:space="preserve"> using student name and subject as inputs</t>
    </r>
  </si>
  <si>
    <r>
      <t xml:space="preserve">When the user enters </t>
    </r>
    <r>
      <rPr>
        <b/>
        <sz val="11"/>
        <color theme="1"/>
        <rFont val="Calibri"/>
        <family val="2"/>
        <scheme val="minor"/>
      </rPr>
      <t>"Komal Gaikwad"</t>
    </r>
    <r>
      <rPr>
        <sz val="11"/>
        <color theme="1"/>
        <rFont val="Calibri"/>
        <family val="2"/>
        <scheme val="minor"/>
      </rPr>
      <t xml:space="preserve"> in the Student Name cell and </t>
    </r>
    <r>
      <rPr>
        <b/>
        <sz val="11"/>
        <color theme="1"/>
        <rFont val="Calibri"/>
        <family val="2"/>
        <scheme val="minor"/>
      </rPr>
      <t>"Statistics"</t>
    </r>
    <r>
      <rPr>
        <sz val="11"/>
        <color theme="1"/>
        <rFont val="Calibri"/>
        <family val="2"/>
        <scheme val="minor"/>
      </rPr>
      <t xml:space="preserve"> in the Subject cell, return the correct marks.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</si>
  <si>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PowerBI marks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"Sneha Kulkarni"</t>
    </r>
    <r>
      <rPr>
        <sz val="11"/>
        <color theme="1"/>
        <rFont val="Calibri"/>
        <family val="2"/>
        <scheme val="minor"/>
      </rPr>
      <t xml:space="preserve"> using INDEX and MATCH.</t>
    </r>
  </si>
  <si>
    <r>
      <t xml:space="preserve">If the student name in </t>
    </r>
    <r>
      <rPr>
        <b/>
        <sz val="11"/>
        <color theme="1"/>
        <rFont val="Calibri"/>
        <family val="2"/>
        <scheme val="minor"/>
      </rPr>
      <t>J4</t>
    </r>
    <r>
      <rPr>
        <sz val="11"/>
        <color theme="1"/>
        <rFont val="Calibri"/>
        <family val="2"/>
        <scheme val="minor"/>
      </rPr>
      <t xml:space="preserve"> is changed to </t>
    </r>
    <r>
      <rPr>
        <b/>
        <sz val="11"/>
        <color theme="1"/>
        <rFont val="Calibri"/>
        <family val="2"/>
        <scheme val="minor"/>
      </rPr>
      <t>"Meena Nair"</t>
    </r>
    <r>
      <rPr>
        <sz val="11"/>
        <color theme="1"/>
        <rFont val="Calibri"/>
        <family val="2"/>
        <scheme val="minor"/>
      </rPr>
      <t xml:space="preserve"> and the subject in </t>
    </r>
    <r>
      <rPr>
        <b/>
        <sz val="11"/>
        <color theme="1"/>
        <rFont val="Calibri"/>
        <family val="2"/>
        <scheme val="minor"/>
      </rPr>
      <t>K4</t>
    </r>
    <r>
      <rPr>
        <sz val="11"/>
        <color theme="1"/>
        <rFont val="Calibri"/>
        <family val="2"/>
        <scheme val="minor"/>
      </rPr>
      <t xml:space="preserve"> is changed to </t>
    </r>
    <r>
      <rPr>
        <b/>
        <sz val="11"/>
        <color theme="1"/>
        <rFont val="Calibri"/>
        <family val="2"/>
        <scheme val="minor"/>
      </rPr>
      <t>"Python"</t>
    </r>
    <r>
      <rPr>
        <sz val="11"/>
        <color theme="1"/>
        <rFont val="Calibri"/>
        <family val="2"/>
        <scheme val="minor"/>
      </rPr>
      <t>, what marks should the formula return?</t>
    </r>
  </si>
  <si>
    <r>
      <t xml:space="preserve">Retrieve the </t>
    </r>
    <r>
      <rPr>
        <b/>
        <sz val="11"/>
        <color theme="1"/>
        <rFont val="Calibri"/>
        <family val="2"/>
        <scheme val="minor"/>
      </rPr>
      <t>SQL marks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"Harsh Yadav"</t>
    </r>
    <r>
      <rPr>
        <sz val="11"/>
        <color theme="1"/>
        <rFont val="Calibri"/>
        <family val="2"/>
        <scheme val="minor"/>
      </rPr>
      <t xml:space="preserve"> using the two-way lookup formula.</t>
    </r>
  </si>
  <si>
    <t>Q3.</t>
  </si>
  <si>
    <t>Q4.</t>
  </si>
  <si>
    <t>Q5</t>
  </si>
  <si>
    <t>Q6.</t>
  </si>
  <si>
    <t>Q7</t>
  </si>
  <si>
    <t>Q8</t>
  </si>
  <si>
    <r>
      <t xml:space="preserve">Modify the INDEX–MATCH formula so that if the user enters </t>
    </r>
    <r>
      <rPr>
        <b/>
        <sz val="11"/>
        <color theme="1"/>
        <rFont val="Calibri"/>
        <family val="2"/>
        <scheme val="minor"/>
      </rPr>
      <t>"Rahul Patil"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"Java"</t>
    </r>
    <r>
      <rPr>
        <sz val="11"/>
        <color theme="1"/>
        <rFont val="Calibri"/>
        <family val="2"/>
        <scheme val="minor"/>
      </rPr>
      <t xml:space="preserve">, Excel displays </t>
    </r>
    <r>
      <rPr>
        <b/>
        <sz val="11"/>
        <color theme="1"/>
        <rFont val="Calibri"/>
        <family val="2"/>
        <scheme val="minor"/>
      </rPr>
      <t>"Subject Not Found"</t>
    </r>
    <r>
      <rPr>
        <sz val="11"/>
        <color theme="1"/>
        <rFont val="Calibri"/>
        <family val="2"/>
        <scheme val="minor"/>
      </rPr>
      <t xml:space="preserve"> instead of an error.</t>
    </r>
  </si>
  <si>
    <t>Q9.</t>
  </si>
  <si>
    <r>
      <t xml:space="preserve">Why is INDEX–MATCH more suitable than VLOOKUP for fetching </t>
    </r>
    <r>
      <rPr>
        <b/>
        <sz val="11"/>
        <color theme="1"/>
        <rFont val="Calibri"/>
        <family val="2"/>
        <scheme val="minor"/>
      </rPr>
      <t>Statistics marks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"Vidya Kamble"</t>
    </r>
    <r>
      <rPr>
        <sz val="11"/>
        <color theme="1"/>
        <rFont val="Calibri"/>
        <family val="2"/>
        <scheme val="minor"/>
      </rPr>
      <t xml:space="preserve"> from this dataset?</t>
    </r>
  </si>
  <si>
    <t>Q10.</t>
  </si>
  <si>
    <t>Ans</t>
  </si>
  <si>
    <t>python</t>
  </si>
  <si>
    <t>priya verma</t>
  </si>
  <si>
    <t>Meena nair</t>
  </si>
  <si>
    <t>Rahul patil</t>
  </si>
  <si>
    <t>Java</t>
  </si>
  <si>
    <t>ANS</t>
  </si>
  <si>
    <t>Student Name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</si>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</sst>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5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E51D-BC25-484F-B688-C46D3A939063}">
  <dimension ref="A1:K66"/>
  <sheetViews>
    <sheetView tabSelected="1" workbookViewId="0">
      <selection activeCell="K7" sqref="K7"/>
    </sheetView>
  </sheetViews>
  <sheetFormatPr defaultRowHeight="14.4" x14ac:dyDescent="0.3"/>
  <cols>
    <col min="2" max="2" width="15.33203125" bestFit="1" customWidth="1"/>
    <col min="10" max="10" width="15.44140625" customWidth="1"/>
    <col min="11" max="11" width="18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">
      <c r="A2" s="2">
        <v>1</v>
      </c>
      <c r="B2" s="2" t="s">
        <v>7</v>
      </c>
      <c r="C2" s="2">
        <v>78</v>
      </c>
      <c r="D2" s="2">
        <v>82</v>
      </c>
      <c r="E2" s="2">
        <v>75</v>
      </c>
      <c r="F2" s="2">
        <v>80</v>
      </c>
      <c r="G2" s="2">
        <v>74</v>
      </c>
      <c r="I2" t="s">
        <v>31</v>
      </c>
      <c r="J2" t="s">
        <v>32</v>
      </c>
    </row>
    <row r="3" spans="1:11" x14ac:dyDescent="0.3">
      <c r="A3" s="2">
        <v>2</v>
      </c>
      <c r="B3" s="2" t="s">
        <v>8</v>
      </c>
      <c r="C3" s="2">
        <v>85</v>
      </c>
      <c r="D3" s="2">
        <v>88</v>
      </c>
      <c r="E3" s="2">
        <v>90</v>
      </c>
      <c r="F3" s="2">
        <v>86</v>
      </c>
      <c r="G3" s="2">
        <v>84</v>
      </c>
      <c r="J3" s="3" t="s">
        <v>1</v>
      </c>
      <c r="K3" s="3" t="s">
        <v>29</v>
      </c>
    </row>
    <row r="4" spans="1:11" x14ac:dyDescent="0.3">
      <c r="A4" s="2">
        <v>3</v>
      </c>
      <c r="B4" s="2" t="s">
        <v>9</v>
      </c>
      <c r="C4" s="2">
        <v>72</v>
      </c>
      <c r="D4" s="2">
        <v>70</v>
      </c>
      <c r="E4" s="2">
        <v>68</v>
      </c>
      <c r="F4" s="2">
        <v>74</v>
      </c>
      <c r="G4" s="2">
        <v>69</v>
      </c>
      <c r="J4" s="8" t="s">
        <v>33</v>
      </c>
      <c r="K4" s="8" t="s">
        <v>27</v>
      </c>
    </row>
    <row r="5" spans="1:11" ht="13.8" customHeight="1" x14ac:dyDescent="0.3">
      <c r="A5" s="2">
        <v>4</v>
      </c>
      <c r="B5" s="2" t="s">
        <v>10</v>
      </c>
      <c r="C5" s="2">
        <v>90</v>
      </c>
      <c r="D5" s="2">
        <v>92</v>
      </c>
      <c r="E5" s="2">
        <v>88</v>
      </c>
      <c r="F5" s="2">
        <v>91</v>
      </c>
      <c r="G5" s="2">
        <v>89</v>
      </c>
      <c r="J5" s="7" t="s">
        <v>30</v>
      </c>
      <c r="K5" s="7">
        <f>INDEX(C2:G21,MATCH(J4,B2:B21,0),MATCH(K4,C1:G1,0))</f>
        <v>75</v>
      </c>
    </row>
    <row r="6" spans="1:11" x14ac:dyDescent="0.3">
      <c r="A6" s="2">
        <v>5</v>
      </c>
      <c r="B6" s="2" t="s">
        <v>11</v>
      </c>
      <c r="C6" s="2">
        <v>65</v>
      </c>
      <c r="D6" s="2">
        <v>60</v>
      </c>
      <c r="E6" s="2">
        <v>70</v>
      </c>
      <c r="F6" s="2">
        <v>68</v>
      </c>
      <c r="G6" s="2">
        <v>66</v>
      </c>
      <c r="J6" s="6"/>
      <c r="K6" s="6"/>
    </row>
    <row r="7" spans="1:11" x14ac:dyDescent="0.3">
      <c r="A7" s="2">
        <v>6</v>
      </c>
      <c r="B7" s="2" t="s">
        <v>12</v>
      </c>
      <c r="C7" s="2">
        <v>88</v>
      </c>
      <c r="D7" s="2">
        <v>85</v>
      </c>
      <c r="E7" s="2">
        <v>87</v>
      </c>
      <c r="F7" s="2">
        <v>90</v>
      </c>
      <c r="G7" s="2">
        <v>86</v>
      </c>
      <c r="J7" s="6"/>
      <c r="K7" s="6"/>
    </row>
    <row r="8" spans="1:11" x14ac:dyDescent="0.3">
      <c r="A8" s="2">
        <v>7</v>
      </c>
      <c r="B8" s="2" t="s">
        <v>13</v>
      </c>
      <c r="C8" s="2">
        <v>76</v>
      </c>
      <c r="D8" s="2">
        <v>79</v>
      </c>
      <c r="E8" s="2">
        <v>74</v>
      </c>
      <c r="F8" s="2">
        <v>78</v>
      </c>
      <c r="G8" s="2">
        <v>75</v>
      </c>
      <c r="I8" t="s">
        <v>35</v>
      </c>
      <c r="J8" s="6" t="s">
        <v>34</v>
      </c>
      <c r="K8" s="6"/>
    </row>
    <row r="9" spans="1:11" x14ac:dyDescent="0.3">
      <c r="A9" s="2">
        <v>8</v>
      </c>
      <c r="B9" s="2" t="s">
        <v>14</v>
      </c>
      <c r="C9" s="2">
        <v>82</v>
      </c>
      <c r="D9" s="2">
        <v>80</v>
      </c>
      <c r="E9" s="2">
        <v>85</v>
      </c>
      <c r="F9" s="2">
        <v>83</v>
      </c>
      <c r="G9" s="2">
        <v>81</v>
      </c>
      <c r="J9" s="6"/>
      <c r="K9" s="6"/>
    </row>
    <row r="10" spans="1:11" x14ac:dyDescent="0.3">
      <c r="A10" s="2">
        <v>9</v>
      </c>
      <c r="B10" s="2" t="s">
        <v>15</v>
      </c>
      <c r="C10" s="2">
        <v>69</v>
      </c>
      <c r="D10" s="2">
        <v>72</v>
      </c>
      <c r="E10" s="2">
        <v>70</v>
      </c>
      <c r="F10" s="2">
        <v>71</v>
      </c>
      <c r="G10" s="2">
        <v>68</v>
      </c>
      <c r="J10" s="4" t="s">
        <v>1</v>
      </c>
      <c r="K10" s="4" t="s">
        <v>28</v>
      </c>
    </row>
    <row r="11" spans="1:11" x14ac:dyDescent="0.3">
      <c r="A11" s="2">
        <v>10</v>
      </c>
      <c r="B11" s="2" t="s">
        <v>16</v>
      </c>
      <c r="C11" s="2">
        <v>91</v>
      </c>
      <c r="D11" s="2">
        <v>89</v>
      </c>
      <c r="E11" s="2">
        <v>92</v>
      </c>
      <c r="F11" s="2">
        <v>90</v>
      </c>
      <c r="G11" s="2">
        <v>88</v>
      </c>
      <c r="J11" s="5" t="s">
        <v>33</v>
      </c>
      <c r="K11" s="5" t="s">
        <v>27</v>
      </c>
    </row>
    <row r="12" spans="1:11" x14ac:dyDescent="0.3">
      <c r="A12" s="2">
        <v>11</v>
      </c>
      <c r="B12" s="2" t="s">
        <v>17</v>
      </c>
      <c r="C12" s="2">
        <v>74</v>
      </c>
      <c r="D12" s="2">
        <v>76</v>
      </c>
      <c r="E12" s="2">
        <v>73</v>
      </c>
      <c r="F12" s="2">
        <v>75</v>
      </c>
      <c r="G12" s="2">
        <v>72</v>
      </c>
      <c r="J12" s="9" t="s">
        <v>52</v>
      </c>
      <c r="K12" s="9">
        <f>INDEX(C2:G21,MATCH(J11,B2:B21,0),MATCH(K11,C1:G1,0))</f>
        <v>75</v>
      </c>
    </row>
    <row r="13" spans="1:11" x14ac:dyDescent="0.3">
      <c r="A13" s="2">
        <v>12</v>
      </c>
      <c r="B13" s="2" t="s">
        <v>18</v>
      </c>
      <c r="C13" s="2">
        <v>86</v>
      </c>
      <c r="D13" s="2">
        <v>88</v>
      </c>
      <c r="E13" s="2">
        <v>84</v>
      </c>
      <c r="F13" s="2">
        <v>87</v>
      </c>
      <c r="G13" s="2">
        <v>85</v>
      </c>
      <c r="J13" s="6"/>
      <c r="K13" s="6"/>
    </row>
    <row r="14" spans="1:11" x14ac:dyDescent="0.3">
      <c r="A14" s="2">
        <v>13</v>
      </c>
      <c r="B14" s="2" t="s">
        <v>19</v>
      </c>
      <c r="C14" s="2">
        <v>80</v>
      </c>
      <c r="D14" s="2">
        <v>78</v>
      </c>
      <c r="E14" s="2">
        <v>82</v>
      </c>
      <c r="F14" s="2">
        <v>81</v>
      </c>
      <c r="G14" s="2">
        <v>79</v>
      </c>
      <c r="J14" s="6"/>
      <c r="K14" s="6"/>
    </row>
    <row r="15" spans="1:11" x14ac:dyDescent="0.3">
      <c r="A15" s="2">
        <v>14</v>
      </c>
      <c r="B15" s="2" t="s">
        <v>20</v>
      </c>
      <c r="C15" s="2">
        <v>83</v>
      </c>
      <c r="D15" s="2">
        <v>85</v>
      </c>
      <c r="E15" s="2">
        <v>88</v>
      </c>
      <c r="F15" s="2">
        <v>84</v>
      </c>
      <c r="G15" s="2">
        <v>82</v>
      </c>
      <c r="I15" t="s">
        <v>42</v>
      </c>
      <c r="J15" s="6" t="s">
        <v>36</v>
      </c>
      <c r="K15" s="6"/>
    </row>
    <row r="16" spans="1:11" x14ac:dyDescent="0.3">
      <c r="A16" s="2">
        <v>15</v>
      </c>
      <c r="B16" s="2" t="s">
        <v>21</v>
      </c>
      <c r="C16" s="2">
        <v>67</v>
      </c>
      <c r="D16" s="2">
        <v>65</v>
      </c>
      <c r="E16" s="2">
        <v>70</v>
      </c>
      <c r="F16" s="2">
        <v>69</v>
      </c>
      <c r="G16" s="2">
        <v>66</v>
      </c>
      <c r="J16" s="6"/>
      <c r="K16" s="6"/>
    </row>
    <row r="17" spans="1:11" x14ac:dyDescent="0.3">
      <c r="A17" s="2">
        <v>16</v>
      </c>
      <c r="B17" s="2" t="s">
        <v>22</v>
      </c>
      <c r="C17" s="2">
        <v>89</v>
      </c>
      <c r="D17" s="2">
        <v>90</v>
      </c>
      <c r="E17" s="2">
        <v>87</v>
      </c>
      <c r="F17" s="2">
        <v>91</v>
      </c>
      <c r="G17" s="2">
        <v>88</v>
      </c>
      <c r="J17" s="4" t="s">
        <v>54</v>
      </c>
      <c r="K17" s="9">
        <f>INDEX(C2:G21,MATCH(J17,B2:B21,0),3)</f>
        <v>90</v>
      </c>
    </row>
    <row r="18" spans="1:11" x14ac:dyDescent="0.3">
      <c r="A18" s="2">
        <v>17</v>
      </c>
      <c r="B18" s="2" t="s">
        <v>23</v>
      </c>
      <c r="C18" s="2">
        <v>75</v>
      </c>
      <c r="D18" s="2">
        <v>73</v>
      </c>
      <c r="E18" s="2">
        <v>76</v>
      </c>
      <c r="F18" s="2">
        <v>74</v>
      </c>
      <c r="G18" s="2">
        <v>72</v>
      </c>
      <c r="J18" s="6"/>
      <c r="K18" s="6"/>
    </row>
    <row r="19" spans="1:11" x14ac:dyDescent="0.3">
      <c r="A19" s="2">
        <v>18</v>
      </c>
      <c r="B19" s="2" t="s">
        <v>24</v>
      </c>
      <c r="C19" s="2">
        <v>84</v>
      </c>
      <c r="D19" s="2">
        <v>86</v>
      </c>
      <c r="E19" s="2">
        <v>83</v>
      </c>
      <c r="F19" s="2">
        <v>85</v>
      </c>
      <c r="G19" s="2">
        <v>82</v>
      </c>
      <c r="J19" s="6"/>
      <c r="K19" s="6"/>
    </row>
    <row r="20" spans="1:11" x14ac:dyDescent="0.3">
      <c r="A20" s="2">
        <v>19</v>
      </c>
      <c r="B20" s="2" t="s">
        <v>25</v>
      </c>
      <c r="C20" s="2">
        <v>71</v>
      </c>
      <c r="D20" s="2">
        <v>70</v>
      </c>
      <c r="E20" s="2">
        <v>72</v>
      </c>
      <c r="F20" s="2">
        <v>73</v>
      </c>
      <c r="G20" s="2">
        <v>69</v>
      </c>
      <c r="J20" s="6"/>
      <c r="K20" s="6"/>
    </row>
    <row r="21" spans="1:11" x14ac:dyDescent="0.3">
      <c r="A21" s="2">
        <v>20</v>
      </c>
      <c r="B21" s="2" t="s">
        <v>26</v>
      </c>
      <c r="C21" s="2">
        <v>92</v>
      </c>
      <c r="D21" s="2">
        <v>94</v>
      </c>
      <c r="E21" s="2">
        <v>91</v>
      </c>
      <c r="F21" s="2">
        <v>93</v>
      </c>
      <c r="G21" s="2">
        <v>90</v>
      </c>
      <c r="I21" t="s">
        <v>43</v>
      </c>
      <c r="J21" s="6" t="s">
        <v>37</v>
      </c>
      <c r="K21" s="6"/>
    </row>
    <row r="22" spans="1:11" x14ac:dyDescent="0.3">
      <c r="J22" s="4" t="s">
        <v>22</v>
      </c>
      <c r="K22" s="4" t="s">
        <v>5</v>
      </c>
    </row>
    <row r="23" spans="1:11" x14ac:dyDescent="0.3">
      <c r="J23" s="9" t="s">
        <v>52</v>
      </c>
      <c r="K23" s="9">
        <f>INDEX(C2:G21,MATCH(J22,B2:B21,0),MATCH(K22,C1:G1,0))</f>
        <v>91</v>
      </c>
    </row>
    <row r="24" spans="1:11" x14ac:dyDescent="0.3">
      <c r="J24" s="6"/>
      <c r="K24" s="6"/>
    </row>
    <row r="25" spans="1:11" x14ac:dyDescent="0.3">
      <c r="J25" s="6"/>
      <c r="K25" s="6"/>
    </row>
    <row r="26" spans="1:11" x14ac:dyDescent="0.3">
      <c r="J26" s="6"/>
      <c r="K26" s="6"/>
    </row>
    <row r="27" spans="1:11" x14ac:dyDescent="0.3">
      <c r="I27" t="s">
        <v>44</v>
      </c>
      <c r="J27" s="6" t="s">
        <v>38</v>
      </c>
      <c r="K27" s="6"/>
    </row>
    <row r="28" spans="1:11" x14ac:dyDescent="0.3">
      <c r="J28" s="6"/>
      <c r="K28" s="6"/>
    </row>
    <row r="29" spans="1:11" x14ac:dyDescent="0.3">
      <c r="J29" s="4" t="s">
        <v>26</v>
      </c>
      <c r="K29" s="4" t="s">
        <v>6</v>
      </c>
    </row>
    <row r="30" spans="1:11" x14ac:dyDescent="0.3">
      <c r="J30" s="9" t="s">
        <v>52</v>
      </c>
      <c r="K30" s="9">
        <f>INDEX(C2:G21,MATCH(J29,B2:B21,0),MATCH(K29,C1:G1,0))</f>
        <v>90</v>
      </c>
    </row>
    <row r="31" spans="1:11" x14ac:dyDescent="0.3">
      <c r="J31" s="6"/>
      <c r="K31" s="6"/>
    </row>
    <row r="32" spans="1:11" x14ac:dyDescent="0.3">
      <c r="J32" s="6"/>
      <c r="K32" s="6"/>
    </row>
    <row r="33" spans="9:11" x14ac:dyDescent="0.3">
      <c r="J33" s="6"/>
      <c r="K33" s="6"/>
    </row>
    <row r="34" spans="9:11" x14ac:dyDescent="0.3">
      <c r="I34" t="s">
        <v>45</v>
      </c>
      <c r="J34" s="6" t="s">
        <v>39</v>
      </c>
      <c r="K34" s="6"/>
    </row>
    <row r="35" spans="9:11" x14ac:dyDescent="0.3">
      <c r="J35" s="6"/>
      <c r="K35" s="6"/>
    </row>
    <row r="36" spans="9:11" x14ac:dyDescent="0.3">
      <c r="J36" s="4" t="s">
        <v>10</v>
      </c>
      <c r="K36" s="4" t="s">
        <v>3</v>
      </c>
    </row>
    <row r="37" spans="9:11" x14ac:dyDescent="0.3">
      <c r="J37" s="9" t="s">
        <v>30</v>
      </c>
      <c r="K37" s="9">
        <f>INDEX(C2:G21,MATCH(J36,B2:B21,0),MATCH(K36,C1:G1,0))</f>
        <v>92</v>
      </c>
    </row>
    <row r="38" spans="9:11" x14ac:dyDescent="0.3">
      <c r="J38" s="6"/>
      <c r="K38" s="6"/>
    </row>
    <row r="39" spans="9:11" x14ac:dyDescent="0.3">
      <c r="J39" s="6"/>
      <c r="K39" s="6"/>
    </row>
    <row r="40" spans="9:11" x14ac:dyDescent="0.3">
      <c r="J40" s="6"/>
      <c r="K40" s="6"/>
    </row>
    <row r="41" spans="9:11" x14ac:dyDescent="0.3">
      <c r="I41" t="s">
        <v>46</v>
      </c>
      <c r="J41" s="6" t="s">
        <v>40</v>
      </c>
      <c r="K41" s="6"/>
    </row>
    <row r="42" spans="9:11" x14ac:dyDescent="0.3">
      <c r="J42" s="6"/>
      <c r="K42" s="6"/>
    </row>
    <row r="43" spans="9:11" x14ac:dyDescent="0.3">
      <c r="J43" s="4" t="s">
        <v>55</v>
      </c>
      <c r="K43" s="4" t="s">
        <v>53</v>
      </c>
    </row>
    <row r="44" spans="9:11" x14ac:dyDescent="0.3">
      <c r="J44" s="9" t="s">
        <v>30</v>
      </c>
      <c r="K44" s="9">
        <f>INDEX(C2:G21,MATCH(J43,B2:B21,0),MATCH(K43,C1:G1,0))</f>
        <v>90</v>
      </c>
    </row>
    <row r="45" spans="9:11" x14ac:dyDescent="0.3">
      <c r="J45" s="6"/>
      <c r="K45" s="6"/>
    </row>
    <row r="46" spans="9:11" x14ac:dyDescent="0.3">
      <c r="J46" s="6"/>
      <c r="K46" s="6"/>
    </row>
    <row r="47" spans="9:11" x14ac:dyDescent="0.3">
      <c r="I47" t="s">
        <v>47</v>
      </c>
      <c r="J47" s="6" t="s">
        <v>41</v>
      </c>
      <c r="K47" s="6"/>
    </row>
    <row r="48" spans="9:11" x14ac:dyDescent="0.3">
      <c r="J48" s="6"/>
      <c r="K48" s="6"/>
    </row>
    <row r="49" spans="9:11" x14ac:dyDescent="0.3">
      <c r="J49" s="4" t="s">
        <v>19</v>
      </c>
      <c r="K49" s="4" t="s">
        <v>2</v>
      </c>
    </row>
    <row r="50" spans="9:11" x14ac:dyDescent="0.3">
      <c r="J50" s="9" t="s">
        <v>52</v>
      </c>
      <c r="K50" s="9">
        <f>INDEX(C2:G21,MATCH(J49,B2:B21,0),MATCH(K49,C1:G1,0))</f>
        <v>80</v>
      </c>
    </row>
    <row r="51" spans="9:11" x14ac:dyDescent="0.3">
      <c r="J51" s="6"/>
      <c r="K51" s="6"/>
    </row>
    <row r="52" spans="9:11" x14ac:dyDescent="0.3">
      <c r="J52" s="6"/>
      <c r="K52" s="6"/>
    </row>
    <row r="53" spans="9:11" x14ac:dyDescent="0.3">
      <c r="I53" t="s">
        <v>49</v>
      </c>
      <c r="J53" s="6" t="s">
        <v>48</v>
      </c>
      <c r="K53" s="6"/>
    </row>
    <row r="54" spans="9:11" x14ac:dyDescent="0.3">
      <c r="J54" s="6"/>
      <c r="K54" s="6"/>
    </row>
    <row r="55" spans="9:11" x14ac:dyDescent="0.3">
      <c r="J55" s="4" t="s">
        <v>56</v>
      </c>
      <c r="K55" s="4" t="s">
        <v>57</v>
      </c>
    </row>
    <row r="56" spans="9:11" ht="24" customHeight="1" x14ac:dyDescent="0.3">
      <c r="J56" s="9" t="s">
        <v>58</v>
      </c>
      <c r="K56" s="10" t="str">
        <f>IFERROR(INDEX(C2:G21,MATCH(J55,B2:B21,0),MATCH(K55,C1:G1,0)),"Subject Not Found")</f>
        <v>Subject Not Found</v>
      </c>
    </row>
    <row r="57" spans="9:11" x14ac:dyDescent="0.3">
      <c r="J57" s="6"/>
      <c r="K57" s="6"/>
    </row>
    <row r="58" spans="9:11" x14ac:dyDescent="0.3">
      <c r="J58" s="6"/>
      <c r="K58" s="6"/>
    </row>
    <row r="59" spans="9:11" x14ac:dyDescent="0.3">
      <c r="J59" s="6"/>
      <c r="K59" s="6"/>
    </row>
    <row r="60" spans="9:11" x14ac:dyDescent="0.3">
      <c r="I60" t="s">
        <v>51</v>
      </c>
      <c r="J60" s="6" t="s">
        <v>50</v>
      </c>
      <c r="K60" s="6"/>
    </row>
    <row r="61" spans="9:11" x14ac:dyDescent="0.3">
      <c r="J61" s="6"/>
      <c r="K61" s="6"/>
    </row>
    <row r="62" spans="9:11" x14ac:dyDescent="0.3">
      <c r="J62" s="6"/>
      <c r="K62" s="6"/>
    </row>
    <row r="63" spans="9:11" x14ac:dyDescent="0.3">
      <c r="J63" s="4" t="s">
        <v>59</v>
      </c>
      <c r="K63" s="4" t="s">
        <v>28</v>
      </c>
    </row>
    <row r="64" spans="9:11" x14ac:dyDescent="0.3">
      <c r="J64" s="5" t="s">
        <v>24</v>
      </c>
      <c r="K64" s="5" t="s">
        <v>6</v>
      </c>
    </row>
    <row r="65" spans="10:11" x14ac:dyDescent="0.3">
      <c r="J65" s="9" t="s">
        <v>60</v>
      </c>
      <c r="K65" s="9">
        <f>VLOOKUP(J64,B1:G21,6)</f>
        <v>82</v>
      </c>
    </row>
    <row r="66" spans="10:11" x14ac:dyDescent="0.3">
      <c r="J66" s="6"/>
      <c r="K6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Siddharth Vadgaonkar</cp:lastModifiedBy>
  <dcterms:created xsi:type="dcterms:W3CDTF">2025-12-26T05:54:26Z</dcterms:created>
  <dcterms:modified xsi:type="dcterms:W3CDTF">2025-12-30T12:17:00Z</dcterms:modified>
</cp:coreProperties>
</file>