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F51EA4B2-21D8-4117-8127-49F3201B8F64}" xr6:coauthVersionLast="47" xr6:coauthVersionMax="47" xr10:uidLastSave="{00000000-0000-0000-0000-000000000000}"/>
  <bookViews>
    <workbookView xWindow="-108" yWindow="-108" windowWidth="23256" windowHeight="12456" activeTab="1" xr2:uid="{36E1DAE4-3135-4FDC-9DD0-A3FD0576339A}"/>
  </bookViews>
  <sheets>
    <sheet name="Data" sheetId="1" r:id="rId1"/>
    <sheet name="Case Study" sheetId="2" r:id="rId2"/>
    <sheet name="Q1" sheetId="3" r:id="rId3"/>
  </sheets>
  <calcPr calcId="191029"/>
  <pivotCaches>
    <pivotCache cacheId="4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</calcChain>
</file>

<file path=xl/sharedStrings.xml><?xml version="1.0" encoding="utf-8"?>
<sst xmlns="http://schemas.openxmlformats.org/spreadsheetml/2006/main" count="897" uniqueCount="162">
  <si>
    <t>Sr. No.</t>
  </si>
  <si>
    <t>Product</t>
  </si>
  <si>
    <t>Region</t>
  </si>
  <si>
    <t>Names</t>
  </si>
  <si>
    <t>Units</t>
  </si>
  <si>
    <t>Sales</t>
  </si>
  <si>
    <t>COGS</t>
  </si>
  <si>
    <t>Laptops</t>
  </si>
  <si>
    <t>South</t>
  </si>
  <si>
    <t>Aditi</t>
  </si>
  <si>
    <t>Aishwarya</t>
  </si>
  <si>
    <t>Ananya</t>
  </si>
  <si>
    <t>Diya</t>
  </si>
  <si>
    <t>Kavya</t>
  </si>
  <si>
    <t>Electronics</t>
  </si>
  <si>
    <t>North</t>
  </si>
  <si>
    <t>Krish</t>
  </si>
  <si>
    <t>Pranav</t>
  </si>
  <si>
    <t>Rupa</t>
  </si>
  <si>
    <t>Kriti</t>
  </si>
  <si>
    <t>Furniture</t>
  </si>
  <si>
    <t>West</t>
  </si>
  <si>
    <t>Meera</t>
  </si>
  <si>
    <t>Priya</t>
  </si>
  <si>
    <t>Samir</t>
  </si>
  <si>
    <t>Asha</t>
  </si>
  <si>
    <t>Clothing</t>
  </si>
  <si>
    <t>East</t>
  </si>
  <si>
    <t>Nandini</t>
  </si>
  <si>
    <t>Ramesh</t>
  </si>
  <si>
    <t>Shreya</t>
  </si>
  <si>
    <t>Preeti</t>
  </si>
  <si>
    <t>Kitchenware</t>
  </si>
  <si>
    <t>Nisha</t>
  </si>
  <si>
    <t>Rohan</t>
  </si>
  <si>
    <t>Siddharth</t>
  </si>
  <si>
    <t>Rishi</t>
  </si>
  <si>
    <t>Home Decor</t>
  </si>
  <si>
    <t>Akanksha</t>
  </si>
  <si>
    <t>Anurag</t>
  </si>
  <si>
    <t>Kamal</t>
  </si>
  <si>
    <t>Appliances</t>
  </si>
  <si>
    <t>Harsh</t>
  </si>
  <si>
    <t>Alok</t>
  </si>
  <si>
    <t>Kanika</t>
  </si>
  <si>
    <t>Toys</t>
  </si>
  <si>
    <t>Varsha</t>
  </si>
  <si>
    <t>Naveen</t>
  </si>
  <si>
    <t>Shobha</t>
  </si>
  <si>
    <t>Books</t>
  </si>
  <si>
    <t>Sunil</t>
  </si>
  <si>
    <t>Meenakshi</t>
  </si>
  <si>
    <t>Rohit</t>
  </si>
  <si>
    <t>Vikas</t>
  </si>
  <si>
    <t>Sports</t>
  </si>
  <si>
    <t>Anjali</t>
  </si>
  <si>
    <t>Divya</t>
  </si>
  <si>
    <t>Raj</t>
  </si>
  <si>
    <t>Kirti</t>
  </si>
  <si>
    <t>Garden</t>
  </si>
  <si>
    <t>Rajesh</t>
  </si>
  <si>
    <t>Avinash</t>
  </si>
  <si>
    <t>Monika</t>
  </si>
  <si>
    <t>Satish</t>
  </si>
  <si>
    <t>Anita</t>
  </si>
  <si>
    <t>Rahul</t>
  </si>
  <si>
    <t>Sunitha</t>
  </si>
  <si>
    <t>Arti</t>
  </si>
  <si>
    <t>Praveen</t>
  </si>
  <si>
    <t>Sneha</t>
  </si>
  <si>
    <t>Rajat</t>
  </si>
  <si>
    <t>Anjana</t>
  </si>
  <si>
    <t>Manju</t>
  </si>
  <si>
    <t>Rohini</t>
  </si>
  <si>
    <t>Rajiv</t>
  </si>
  <si>
    <t>Arpita</t>
  </si>
  <si>
    <t>Vinay</t>
  </si>
  <si>
    <t>Neelam</t>
  </si>
  <si>
    <t>Vikram</t>
  </si>
  <si>
    <t>Komal</t>
  </si>
  <si>
    <t>Sonia</t>
  </si>
  <si>
    <t>Amit</t>
  </si>
  <si>
    <t>Abhishek</t>
  </si>
  <si>
    <t>Anupam</t>
  </si>
  <si>
    <t>Shweta</t>
  </si>
  <si>
    <t>Neha</t>
  </si>
  <si>
    <t>Sonali</t>
  </si>
  <si>
    <t>Kiran</t>
  </si>
  <si>
    <t>Sameer</t>
  </si>
  <si>
    <t>Shikha</t>
  </si>
  <si>
    <t>Ashok</t>
  </si>
  <si>
    <t>Mukesh</t>
  </si>
  <si>
    <t>Arvind</t>
  </si>
  <si>
    <t>Aditya</t>
  </si>
  <si>
    <t>Kamini</t>
  </si>
  <si>
    <t>Manish</t>
  </si>
  <si>
    <t>Sarika</t>
  </si>
  <si>
    <t>Kusum</t>
  </si>
  <si>
    <t>Ankit</t>
  </si>
  <si>
    <t>Vivek</t>
  </si>
  <si>
    <t>Sushil</t>
  </si>
  <si>
    <t>Q1-What is the total units sold across all regions?</t>
  </si>
  <si>
    <t>Q 2. What is the average sales for Appliances?</t>
  </si>
  <si>
    <t>3. Who had the highest cost of goods sold (COGS) in the dataset?</t>
  </si>
  <si>
    <t>4. What is the total sales for the Electronics category?</t>
  </si>
  <si>
    <t>5. How many different products are listed in the dataset?</t>
  </si>
  <si>
    <t>7. What is the average units sold per person for each product?</t>
  </si>
  <si>
    <t>8. What is the total sales for the Home Decor category in the South region?</t>
  </si>
  <si>
    <t xml:space="preserve">9. Who had the highest total sales?
</t>
  </si>
  <si>
    <t>10. What is the average COGS per unit for each product?</t>
  </si>
  <si>
    <t xml:space="preserve">Product wise Sales </t>
  </si>
  <si>
    <t>Total Sales by Region</t>
  </si>
  <si>
    <t xml:space="preserve">Total sales by sales representative </t>
  </si>
  <si>
    <t>Who sold max units</t>
  </si>
  <si>
    <t xml:space="preserve">in which region had max sale , min sale </t>
  </si>
  <si>
    <t xml:space="preserve">which product had max sale by unit </t>
  </si>
  <si>
    <t xml:space="preserve">Most exp product </t>
  </si>
  <si>
    <t xml:space="preserve">least exp product </t>
  </si>
  <si>
    <t>product and region wise max sales</t>
  </si>
  <si>
    <t xml:space="preserve">avg sales of prduct </t>
  </si>
  <si>
    <t>Region wise sales per product</t>
  </si>
  <si>
    <t>Who sales max in south</t>
  </si>
  <si>
    <t>Q1- What is total Sales</t>
  </si>
  <si>
    <t>Q2 - Region Wise Sales</t>
  </si>
  <si>
    <t xml:space="preserve">Q3- Total  Unit Sold </t>
  </si>
  <si>
    <t xml:space="preserve">Q4- List the Unique Products </t>
  </si>
  <si>
    <t>Q5- Total Unique Sales Repr</t>
  </si>
  <si>
    <t xml:space="preserve">Q14- total sales by product for each region </t>
  </si>
  <si>
    <t xml:space="preserve">Q6- Total Sales by Product </t>
  </si>
  <si>
    <t>Q7- Who had the max Sale</t>
  </si>
  <si>
    <t xml:space="preserve">Q8- Total Orders </t>
  </si>
  <si>
    <t>Q9- In south region which product had max sales</t>
  </si>
  <si>
    <t xml:space="preserve">Q10- Total Laptop Sold in South region </t>
  </si>
  <si>
    <t xml:space="preserve">Q11- Who had the max and min sales in South Region </t>
  </si>
  <si>
    <t xml:space="preserve">Q12- Which product sold max times in West Region </t>
  </si>
  <si>
    <t xml:space="preserve">Q13 - What is total sales made by rahul in east region </t>
  </si>
  <si>
    <t xml:space="preserve">Q15- Who had done max sales for home decore in east region </t>
  </si>
  <si>
    <t>Sum of Units</t>
  </si>
  <si>
    <t>Row Labels</t>
  </si>
  <si>
    <t>Grand Total</t>
  </si>
  <si>
    <t>Sum of Sales</t>
  </si>
  <si>
    <t>Average of Sales</t>
  </si>
  <si>
    <t>Max of COGS</t>
  </si>
  <si>
    <t>Total Sales</t>
  </si>
  <si>
    <t>Sum of Total Sales</t>
  </si>
  <si>
    <t>Average of Units</t>
  </si>
  <si>
    <t>Column Labels</t>
  </si>
  <si>
    <t>Max of Total Sales</t>
  </si>
  <si>
    <t>Average of COGS</t>
  </si>
  <si>
    <t xml:space="preserve">                                 Total sales by sales representative </t>
  </si>
  <si>
    <t xml:space="preserve">         Who sold max units</t>
  </si>
  <si>
    <t>Max of Units</t>
  </si>
  <si>
    <t xml:space="preserve">                                           in which region had max sale , min sale </t>
  </si>
  <si>
    <t>Max of Sales</t>
  </si>
  <si>
    <t>Min of Sales2</t>
  </si>
  <si>
    <t xml:space="preserve">                                      which product had max sale by unit </t>
  </si>
  <si>
    <t xml:space="preserve">       Most exp product </t>
  </si>
  <si>
    <t xml:space="preserve">       least exp product </t>
  </si>
  <si>
    <t xml:space="preserve">                                            product and region wise max sales</t>
  </si>
  <si>
    <t xml:space="preserve">        avg sales of prduct </t>
  </si>
  <si>
    <t xml:space="preserve">                            Region wise sales per product</t>
  </si>
  <si>
    <t xml:space="preserve">               Who sales max in 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</si>
</sst>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5" xfId="0" applyFill="1" applyBorder="1" applyAlignment="1">
      <alignment horizontal="left"/>
    </xf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1" defaultTableStyle="TableStyleMedium2" defaultPivotStyle="PivotStyleLight16">
    <tableStyle name="Invisible" pivot="0" table="0" count="0" xr9:uid="{467BED8F-03DD-4B5C-A11C-9752E03B433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ddharth Vadgaonkar" refreshedDate="46026.625483680553" createdVersion="8" refreshedVersion="8" minRefreshableVersion="3" recordCount="123" xr:uid="{F0D68FF9-0353-4C70-9564-7A0815CE22F7}">
  <cacheSource type="worksheet">
    <worksheetSource name="sales"/>
  </cacheSource>
  <cacheFields count="8">
    <cacheField name="Sr. No." numFmtId="0">
      <sharedItems containsSemiMixedTypes="0" containsString="0" containsNumber="1" containsInteger="1" minValue="1" maxValue="123"/>
    </cacheField>
    <cacheField name="Product" numFmtId="0">
      <sharedItems count="11">
        <s v="Laptops"/>
        <s v="Electronics"/>
        <s v="Furniture"/>
        <s v="Clothing"/>
        <s v="Kitchenware"/>
        <s v="Home Decor"/>
        <s v="Appliances"/>
        <s v="Toys"/>
        <s v="Books"/>
        <s v="Sports"/>
        <s v="Garden"/>
      </sharedItems>
    </cacheField>
    <cacheField name="Region" numFmtId="0">
      <sharedItems count="4">
        <s v="South"/>
        <s v="North"/>
        <s v="West"/>
        <s v="East"/>
      </sharedItems>
    </cacheField>
    <cacheField name="Names" numFmtId="0">
      <sharedItems count="79">
        <s v="Aditi"/>
        <s v="Aishwarya"/>
        <s v="Ananya"/>
        <s v="Diya"/>
        <s v="Kavya"/>
        <s v="Krish"/>
        <s v="Pranav"/>
        <s v="Rupa"/>
        <s v="Kriti"/>
        <s v="Meera"/>
        <s v="Priya"/>
        <s v="Samir"/>
        <s v="Asha"/>
        <s v="Nandini"/>
        <s v="Ramesh"/>
        <s v="Shreya"/>
        <s v="Preeti"/>
        <s v="Nisha"/>
        <s v="Rohan"/>
        <s v="Siddharth"/>
        <s v="Rishi"/>
        <s v="Akanksha"/>
        <s v="Anurag"/>
        <s v="Kamal"/>
        <s v="Harsh"/>
        <s v="Alok"/>
        <s v="Kanika"/>
        <s v="Varsha"/>
        <s v="Naveen"/>
        <s v="Shobha"/>
        <s v="Sunil"/>
        <s v="Meenakshi"/>
        <s v="Rohit"/>
        <s v="Vikas"/>
        <s v="Anjali"/>
        <s v="Divya"/>
        <s v="Raj"/>
        <s v="Kirti"/>
        <s v="Rajesh"/>
        <s v="Avinash"/>
        <s v="Monika"/>
        <s v="Satish"/>
        <s v="Anita"/>
        <s v="Rahul"/>
        <s v="Sunitha"/>
        <s v="Arti"/>
        <s v="Praveen"/>
        <s v="Sneha"/>
        <s v="Rajat"/>
        <s v="Anjana"/>
        <s v="Manju"/>
        <s v="Rohini"/>
        <s v="Rajiv"/>
        <s v="Arpita"/>
        <s v="Vinay"/>
        <s v="Neelam"/>
        <s v="Vikram"/>
        <s v="Komal"/>
        <s v="Sonia"/>
        <s v="Amit"/>
        <s v="Abhishek"/>
        <s v="Anupam"/>
        <s v="Shweta"/>
        <s v="Neha"/>
        <s v="Sonali"/>
        <s v="Kiran"/>
        <s v="Sameer"/>
        <s v="Shikha"/>
        <s v="Ashok"/>
        <s v="Mukesh"/>
        <s v="Arvind"/>
        <s v="Aditya"/>
        <s v="Kamini"/>
        <s v="Manish"/>
        <s v="Sarika"/>
        <s v="Kusum"/>
        <s v="Ankit"/>
        <s v="Vivek"/>
        <s v="Sushil"/>
      </sharedItems>
    </cacheField>
    <cacheField name="Units" numFmtId="0">
      <sharedItems containsSemiMixedTypes="0" containsString="0" containsNumber="1" containsInteger="1" minValue="7" maxValue="28"/>
    </cacheField>
    <cacheField name="Sales" numFmtId="0">
      <sharedItems containsSemiMixedTypes="0" containsString="0" containsNumber="1" containsInteger="1" minValue="123" maxValue="999" count="89">
        <n v="523"/>
        <n v="792"/>
        <n v="654"/>
        <n v="345"/>
        <n v="678"/>
        <n v="123"/>
        <n v="489"/>
        <n v="354"/>
        <n v="195"/>
        <n v="274"/>
        <n v="837"/>
        <n v="911"/>
        <n v="653"/>
        <n v="789"/>
        <n v="125"/>
        <n v="367"/>
        <n v="524"/>
        <n v="213"/>
        <n v="312"/>
        <n v="456"/>
        <n v="224"/>
        <n v="334"/>
        <n v="135"/>
        <n v="689"/>
        <n v="432"/>
        <n v="287"/>
        <n v="176"/>
        <n v="555"/>
        <n v="798"/>
        <n v="265"/>
        <n v="976"/>
        <n v="211"/>
        <n v="256"/>
        <n v="879"/>
        <n v="765"/>
        <n v="599"/>
        <n v="322"/>
        <n v="499"/>
        <n v="192"/>
        <n v="321"/>
        <n v="541"/>
        <n v="187"/>
        <n v="786"/>
        <n v="655"/>
        <n v="989"/>
        <n v="722"/>
        <n v="864"/>
        <n v="999"/>
        <n v="762"/>
        <n v="127"/>
        <n v="164"/>
        <n v="646"/>
        <n v="294"/>
        <n v="223"/>
        <n v="785"/>
        <n v="777"/>
        <n v="144"/>
        <n v="699"/>
        <n v="665"/>
        <n v="233"/>
        <n v="356"/>
        <n v="715"/>
        <n v="988"/>
        <n v="712"/>
        <n v="199"/>
        <n v="478"/>
        <n v="186"/>
        <n v="761"/>
        <n v="288"/>
        <n v="355"/>
        <n v="723"/>
        <n v="467"/>
        <n v="366"/>
        <n v="267"/>
        <n v="326"/>
        <n v="633"/>
        <n v="147"/>
        <n v="342"/>
        <n v="453"/>
        <n v="238"/>
        <n v="468"/>
        <n v="799"/>
        <n v="156"/>
        <n v="239"/>
        <n v="745"/>
        <n v="194"/>
        <n v="219"/>
        <n v="333"/>
        <n v="225"/>
      </sharedItems>
    </cacheField>
    <cacheField name="Total Sales" numFmtId="0">
      <sharedItems containsSemiMixedTypes="0" containsString="0" containsNumber="1" containsInteger="1" minValue="945" maxValue="27328"/>
    </cacheField>
    <cacheField name="COGS" numFmtId="0">
      <sharedItems containsSemiMixedTypes="0" containsString="0" containsNumber="1" containsInteger="1" minValue="75" maxValue="6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"/>
    <x v="0"/>
    <x v="0"/>
    <x v="0"/>
    <n v="15"/>
    <x v="0"/>
    <n v="7845"/>
    <n v="321"/>
  </r>
  <r>
    <n v="2"/>
    <x v="0"/>
    <x v="0"/>
    <x v="1"/>
    <n v="20"/>
    <x v="1"/>
    <n v="15840"/>
    <n v="456"/>
  </r>
  <r>
    <n v="3"/>
    <x v="0"/>
    <x v="0"/>
    <x v="2"/>
    <n v="18"/>
    <x v="2"/>
    <n v="11772"/>
    <n v="398"/>
  </r>
  <r>
    <n v="4"/>
    <x v="0"/>
    <x v="0"/>
    <x v="3"/>
    <n v="14"/>
    <x v="3"/>
    <n v="4830"/>
    <n v="210"/>
  </r>
  <r>
    <n v="5"/>
    <x v="0"/>
    <x v="0"/>
    <x v="4"/>
    <n v="16"/>
    <x v="4"/>
    <n v="10848"/>
    <n v="412"/>
  </r>
  <r>
    <n v="6"/>
    <x v="1"/>
    <x v="1"/>
    <x v="5"/>
    <n v="22"/>
    <x v="5"/>
    <n v="2706"/>
    <n v="78"/>
  </r>
  <r>
    <n v="7"/>
    <x v="1"/>
    <x v="1"/>
    <x v="6"/>
    <n v="19"/>
    <x v="6"/>
    <n v="9291"/>
    <n v="286"/>
  </r>
  <r>
    <n v="8"/>
    <x v="1"/>
    <x v="1"/>
    <x v="7"/>
    <n v="12"/>
    <x v="7"/>
    <n v="4248"/>
    <n v="215"/>
  </r>
  <r>
    <n v="9"/>
    <x v="1"/>
    <x v="1"/>
    <x v="8"/>
    <n v="9"/>
    <x v="8"/>
    <n v="1755"/>
    <n v="114"/>
  </r>
  <r>
    <n v="10"/>
    <x v="2"/>
    <x v="2"/>
    <x v="9"/>
    <n v="11"/>
    <x v="9"/>
    <n v="3014"/>
    <n v="167"/>
  </r>
  <r>
    <n v="11"/>
    <x v="2"/>
    <x v="2"/>
    <x v="10"/>
    <n v="26"/>
    <x v="10"/>
    <n v="21762"/>
    <n v="512"/>
  </r>
  <r>
    <n v="12"/>
    <x v="2"/>
    <x v="2"/>
    <x v="11"/>
    <n v="28"/>
    <x v="11"/>
    <n v="25508"/>
    <n v="556"/>
  </r>
  <r>
    <n v="13"/>
    <x v="2"/>
    <x v="2"/>
    <x v="12"/>
    <n v="21"/>
    <x v="12"/>
    <n v="13713"/>
    <n v="398"/>
  </r>
  <r>
    <n v="14"/>
    <x v="3"/>
    <x v="3"/>
    <x v="13"/>
    <n v="17"/>
    <x v="13"/>
    <n v="13413"/>
    <n v="458"/>
  </r>
  <r>
    <n v="15"/>
    <x v="3"/>
    <x v="3"/>
    <x v="14"/>
    <n v="8"/>
    <x v="14"/>
    <n v="1000"/>
    <n v="76"/>
  </r>
  <r>
    <n v="16"/>
    <x v="3"/>
    <x v="3"/>
    <x v="15"/>
    <n v="14"/>
    <x v="15"/>
    <n v="5138"/>
    <n v="224"/>
  </r>
  <r>
    <n v="17"/>
    <x v="3"/>
    <x v="3"/>
    <x v="16"/>
    <n v="23"/>
    <x v="16"/>
    <n v="12052"/>
    <n v="319"/>
  </r>
  <r>
    <n v="18"/>
    <x v="4"/>
    <x v="0"/>
    <x v="17"/>
    <n v="13"/>
    <x v="17"/>
    <n v="2769"/>
    <n v="130"/>
  </r>
  <r>
    <n v="19"/>
    <x v="4"/>
    <x v="0"/>
    <x v="18"/>
    <n v="15"/>
    <x v="13"/>
    <n v="11835"/>
    <n v="458"/>
  </r>
  <r>
    <n v="20"/>
    <x v="4"/>
    <x v="0"/>
    <x v="19"/>
    <n v="21"/>
    <x v="18"/>
    <n v="6552"/>
    <n v="190"/>
  </r>
  <r>
    <n v="21"/>
    <x v="4"/>
    <x v="1"/>
    <x v="20"/>
    <n v="19"/>
    <x v="19"/>
    <n v="8664"/>
    <n v="279"/>
  </r>
  <r>
    <n v="22"/>
    <x v="5"/>
    <x v="1"/>
    <x v="21"/>
    <n v="10"/>
    <x v="20"/>
    <n v="2240"/>
    <n v="137"/>
  </r>
  <r>
    <n v="23"/>
    <x v="5"/>
    <x v="3"/>
    <x v="22"/>
    <n v="11"/>
    <x v="21"/>
    <n v="3674"/>
    <n v="204"/>
  </r>
  <r>
    <n v="24"/>
    <x v="5"/>
    <x v="3"/>
    <x v="23"/>
    <n v="7"/>
    <x v="22"/>
    <n v="945"/>
    <n v="83"/>
  </r>
  <r>
    <n v="25"/>
    <x v="6"/>
    <x v="2"/>
    <x v="24"/>
    <n v="15"/>
    <x v="23"/>
    <n v="10335"/>
    <n v="421"/>
  </r>
  <r>
    <n v="26"/>
    <x v="6"/>
    <x v="2"/>
    <x v="25"/>
    <n v="25"/>
    <x v="24"/>
    <n v="10800"/>
    <n v="263"/>
  </r>
  <r>
    <n v="27"/>
    <x v="6"/>
    <x v="2"/>
    <x v="26"/>
    <n v="11"/>
    <x v="25"/>
    <n v="3157"/>
    <n v="175"/>
  </r>
  <r>
    <n v="28"/>
    <x v="7"/>
    <x v="3"/>
    <x v="27"/>
    <n v="8"/>
    <x v="26"/>
    <n v="1408"/>
    <n v="107"/>
  </r>
  <r>
    <n v="29"/>
    <x v="7"/>
    <x v="2"/>
    <x v="28"/>
    <n v="13"/>
    <x v="27"/>
    <n v="7215"/>
    <n v="339"/>
  </r>
  <r>
    <n v="30"/>
    <x v="7"/>
    <x v="2"/>
    <x v="29"/>
    <n v="15"/>
    <x v="24"/>
    <n v="6480"/>
    <n v="263"/>
  </r>
  <r>
    <n v="31"/>
    <x v="8"/>
    <x v="0"/>
    <x v="30"/>
    <n v="20"/>
    <x v="28"/>
    <n v="15960"/>
    <n v="487"/>
  </r>
  <r>
    <n v="32"/>
    <x v="8"/>
    <x v="0"/>
    <x v="31"/>
    <n v="15"/>
    <x v="29"/>
    <n v="3975"/>
    <n v="162"/>
  </r>
  <r>
    <n v="33"/>
    <x v="8"/>
    <x v="0"/>
    <x v="32"/>
    <n v="28"/>
    <x v="30"/>
    <n v="27328"/>
    <n v="594"/>
  </r>
  <r>
    <n v="34"/>
    <x v="8"/>
    <x v="0"/>
    <x v="33"/>
    <n v="10"/>
    <x v="31"/>
    <n v="2110"/>
    <n v="129"/>
  </r>
  <r>
    <n v="35"/>
    <x v="9"/>
    <x v="3"/>
    <x v="34"/>
    <n v="12"/>
    <x v="32"/>
    <n v="3072"/>
    <n v="156"/>
  </r>
  <r>
    <n v="36"/>
    <x v="9"/>
    <x v="2"/>
    <x v="35"/>
    <n v="22"/>
    <x v="33"/>
    <n v="19338"/>
    <n v="535"/>
  </r>
  <r>
    <n v="37"/>
    <x v="9"/>
    <x v="3"/>
    <x v="36"/>
    <n v="19"/>
    <x v="34"/>
    <n v="14535"/>
    <n v="468"/>
  </r>
  <r>
    <n v="38"/>
    <x v="9"/>
    <x v="2"/>
    <x v="37"/>
    <n v="17"/>
    <x v="35"/>
    <n v="10183"/>
    <n v="365"/>
  </r>
  <r>
    <n v="39"/>
    <x v="10"/>
    <x v="1"/>
    <x v="38"/>
    <n v="18"/>
    <x v="19"/>
    <n v="8208"/>
    <n v="279"/>
  </r>
  <r>
    <n v="40"/>
    <x v="10"/>
    <x v="3"/>
    <x v="39"/>
    <n v="9"/>
    <x v="5"/>
    <n v="1107"/>
    <n v="75"/>
  </r>
  <r>
    <n v="41"/>
    <x v="10"/>
    <x v="1"/>
    <x v="40"/>
    <n v="12"/>
    <x v="17"/>
    <n v="2556"/>
    <n v="130"/>
  </r>
  <r>
    <n v="42"/>
    <x v="10"/>
    <x v="3"/>
    <x v="41"/>
    <n v="12"/>
    <x v="36"/>
    <n v="3864"/>
    <n v="197"/>
  </r>
  <r>
    <n v="43"/>
    <x v="10"/>
    <x v="1"/>
    <x v="38"/>
    <n v="18"/>
    <x v="37"/>
    <n v="8982"/>
    <n v="305"/>
  </r>
  <r>
    <n v="44"/>
    <x v="10"/>
    <x v="3"/>
    <x v="39"/>
    <n v="9"/>
    <x v="38"/>
    <n v="1728"/>
    <n v="117"/>
  </r>
  <r>
    <n v="45"/>
    <x v="10"/>
    <x v="1"/>
    <x v="40"/>
    <n v="12"/>
    <x v="4"/>
    <n v="8136"/>
    <n v="413"/>
  </r>
  <r>
    <n v="46"/>
    <x v="10"/>
    <x v="3"/>
    <x v="41"/>
    <n v="12"/>
    <x v="39"/>
    <n v="3852"/>
    <n v="196"/>
  </r>
  <r>
    <n v="47"/>
    <x v="1"/>
    <x v="2"/>
    <x v="42"/>
    <n v="15"/>
    <x v="34"/>
    <n v="11475"/>
    <n v="466"/>
  </r>
  <r>
    <n v="48"/>
    <x v="1"/>
    <x v="0"/>
    <x v="43"/>
    <n v="14"/>
    <x v="40"/>
    <n v="7574"/>
    <n v="331"/>
  </r>
  <r>
    <n v="49"/>
    <x v="1"/>
    <x v="3"/>
    <x v="44"/>
    <n v="9"/>
    <x v="41"/>
    <n v="1683"/>
    <n v="114"/>
  </r>
  <r>
    <n v="50"/>
    <x v="1"/>
    <x v="2"/>
    <x v="45"/>
    <n v="15"/>
    <x v="42"/>
    <n v="11790"/>
    <n v="479"/>
  </r>
  <r>
    <n v="51"/>
    <x v="2"/>
    <x v="0"/>
    <x v="43"/>
    <n v="14"/>
    <x v="43"/>
    <n v="9170"/>
    <n v="399"/>
  </r>
  <r>
    <n v="52"/>
    <x v="2"/>
    <x v="3"/>
    <x v="2"/>
    <n v="20"/>
    <x v="44"/>
    <n v="19780"/>
    <n v="603"/>
  </r>
  <r>
    <n v="53"/>
    <x v="2"/>
    <x v="2"/>
    <x v="46"/>
    <n v="16"/>
    <x v="45"/>
    <n v="11552"/>
    <n v="441"/>
  </r>
  <r>
    <n v="54"/>
    <x v="2"/>
    <x v="1"/>
    <x v="47"/>
    <n v="17"/>
    <x v="46"/>
    <n v="14688"/>
    <n v="527"/>
  </r>
  <r>
    <n v="55"/>
    <x v="3"/>
    <x v="2"/>
    <x v="48"/>
    <n v="20"/>
    <x v="47"/>
    <n v="19980"/>
    <n v="610"/>
  </r>
  <r>
    <n v="56"/>
    <x v="3"/>
    <x v="3"/>
    <x v="26"/>
    <n v="15"/>
    <x v="48"/>
    <n v="11430"/>
    <n v="465"/>
  </r>
  <r>
    <n v="57"/>
    <x v="3"/>
    <x v="0"/>
    <x v="49"/>
    <n v="9"/>
    <x v="49"/>
    <n v="1143"/>
    <n v="78"/>
  </r>
  <r>
    <n v="58"/>
    <x v="3"/>
    <x v="2"/>
    <x v="31"/>
    <n v="8"/>
    <x v="50"/>
    <n v="1312"/>
    <n v="100"/>
  </r>
  <r>
    <n v="59"/>
    <x v="4"/>
    <x v="3"/>
    <x v="50"/>
    <n v="14"/>
    <x v="51"/>
    <n v="9044"/>
    <n v="394"/>
  </r>
  <r>
    <n v="60"/>
    <x v="4"/>
    <x v="1"/>
    <x v="51"/>
    <n v="11"/>
    <x v="52"/>
    <n v="3234"/>
    <n v="179"/>
  </r>
  <r>
    <n v="61"/>
    <x v="4"/>
    <x v="2"/>
    <x v="35"/>
    <n v="10"/>
    <x v="53"/>
    <n v="2230"/>
    <n v="136"/>
  </r>
  <r>
    <n v="62"/>
    <x v="4"/>
    <x v="3"/>
    <x v="34"/>
    <n v="15"/>
    <x v="54"/>
    <n v="11775"/>
    <n v="480"/>
  </r>
  <r>
    <n v="63"/>
    <x v="5"/>
    <x v="1"/>
    <x v="52"/>
    <n v="16"/>
    <x v="55"/>
    <n v="12432"/>
    <n v="475"/>
  </r>
  <r>
    <n v="64"/>
    <x v="5"/>
    <x v="3"/>
    <x v="53"/>
    <n v="9"/>
    <x v="56"/>
    <n v="1296"/>
    <n v="88"/>
  </r>
  <r>
    <n v="65"/>
    <x v="5"/>
    <x v="0"/>
    <x v="46"/>
    <n v="18"/>
    <x v="57"/>
    <n v="12582"/>
    <n v="426"/>
  </r>
  <r>
    <n v="66"/>
    <x v="5"/>
    <x v="3"/>
    <x v="54"/>
    <n v="14"/>
    <x v="58"/>
    <n v="9310"/>
    <n v="406"/>
  </r>
  <r>
    <n v="67"/>
    <x v="6"/>
    <x v="2"/>
    <x v="55"/>
    <n v="10"/>
    <x v="59"/>
    <n v="2330"/>
    <n v="142"/>
  </r>
  <r>
    <n v="68"/>
    <x v="6"/>
    <x v="1"/>
    <x v="56"/>
    <n v="11"/>
    <x v="60"/>
    <n v="3916"/>
    <n v="217"/>
  </r>
  <r>
    <n v="69"/>
    <x v="6"/>
    <x v="0"/>
    <x v="57"/>
    <n v="16"/>
    <x v="61"/>
    <n v="11440"/>
    <n v="436"/>
  </r>
  <r>
    <n v="70"/>
    <x v="6"/>
    <x v="3"/>
    <x v="58"/>
    <n v="18"/>
    <x v="55"/>
    <n v="13986"/>
    <n v="475"/>
  </r>
  <r>
    <n v="71"/>
    <x v="8"/>
    <x v="0"/>
    <x v="59"/>
    <n v="20"/>
    <x v="62"/>
    <n v="19760"/>
    <n v="602"/>
  </r>
  <r>
    <n v="72"/>
    <x v="8"/>
    <x v="2"/>
    <x v="60"/>
    <n v="16"/>
    <x v="63"/>
    <n v="11392"/>
    <n v="434"/>
  </r>
  <r>
    <n v="73"/>
    <x v="8"/>
    <x v="3"/>
    <x v="61"/>
    <n v="15"/>
    <x v="28"/>
    <n v="11970"/>
    <n v="487"/>
  </r>
  <r>
    <n v="74"/>
    <x v="8"/>
    <x v="1"/>
    <x v="23"/>
    <n v="10"/>
    <x v="64"/>
    <n v="1990"/>
    <n v="121"/>
  </r>
  <r>
    <n v="75"/>
    <x v="7"/>
    <x v="2"/>
    <x v="62"/>
    <n v="12"/>
    <x v="65"/>
    <n v="5736"/>
    <n v="292"/>
  </r>
  <r>
    <n v="76"/>
    <x v="7"/>
    <x v="0"/>
    <x v="63"/>
    <n v="9"/>
    <x v="66"/>
    <n v="1674"/>
    <n v="113"/>
  </r>
  <r>
    <n v="77"/>
    <x v="7"/>
    <x v="3"/>
    <x v="64"/>
    <n v="15"/>
    <x v="67"/>
    <n v="11415"/>
    <n v="464"/>
  </r>
  <r>
    <n v="78"/>
    <x v="7"/>
    <x v="1"/>
    <x v="43"/>
    <n v="10"/>
    <x v="68"/>
    <n v="2880"/>
    <n v="176"/>
  </r>
  <r>
    <n v="79"/>
    <x v="9"/>
    <x v="3"/>
    <x v="65"/>
    <n v="18"/>
    <x v="57"/>
    <n v="12582"/>
    <n v="426"/>
  </r>
  <r>
    <n v="80"/>
    <x v="9"/>
    <x v="2"/>
    <x v="66"/>
    <n v="16"/>
    <x v="55"/>
    <n v="12432"/>
    <n v="475"/>
  </r>
  <r>
    <n v="81"/>
    <x v="9"/>
    <x v="0"/>
    <x v="14"/>
    <n v="11"/>
    <x v="69"/>
    <n v="3905"/>
    <n v="217"/>
  </r>
  <r>
    <n v="82"/>
    <x v="9"/>
    <x v="3"/>
    <x v="67"/>
    <n v="10"/>
    <x v="59"/>
    <n v="2330"/>
    <n v="142"/>
  </r>
  <r>
    <n v="83"/>
    <x v="9"/>
    <x v="2"/>
    <x v="68"/>
    <n v="16"/>
    <x v="70"/>
    <n v="11568"/>
    <n v="441"/>
  </r>
  <r>
    <n v="84"/>
    <x v="10"/>
    <x v="3"/>
    <x v="69"/>
    <n v="19"/>
    <x v="71"/>
    <n v="8873"/>
    <n v="285"/>
  </r>
  <r>
    <n v="85"/>
    <x v="1"/>
    <x v="1"/>
    <x v="70"/>
    <n v="11"/>
    <x v="72"/>
    <n v="4026"/>
    <n v="223"/>
  </r>
  <r>
    <n v="86"/>
    <x v="2"/>
    <x v="0"/>
    <x v="63"/>
    <n v="10"/>
    <x v="73"/>
    <n v="2670"/>
    <n v="163"/>
  </r>
  <r>
    <n v="87"/>
    <x v="3"/>
    <x v="2"/>
    <x v="71"/>
    <n v="15"/>
    <x v="13"/>
    <n v="11835"/>
    <n v="480"/>
  </r>
  <r>
    <n v="88"/>
    <x v="8"/>
    <x v="3"/>
    <x v="39"/>
    <n v="14"/>
    <x v="43"/>
    <n v="9170"/>
    <n v="399"/>
  </r>
  <r>
    <n v="89"/>
    <x v="5"/>
    <x v="2"/>
    <x v="34"/>
    <n v="10"/>
    <x v="53"/>
    <n v="2230"/>
    <n v="136"/>
  </r>
  <r>
    <n v="90"/>
    <x v="4"/>
    <x v="1"/>
    <x v="72"/>
    <n v="9"/>
    <x v="38"/>
    <n v="1728"/>
    <n v="117"/>
  </r>
  <r>
    <n v="91"/>
    <x v="6"/>
    <x v="0"/>
    <x v="73"/>
    <n v="12"/>
    <x v="74"/>
    <n v="3912"/>
    <n v="199"/>
  </r>
  <r>
    <n v="92"/>
    <x v="7"/>
    <x v="3"/>
    <x v="47"/>
    <n v="18"/>
    <x v="37"/>
    <n v="8982"/>
    <n v="305"/>
  </r>
  <r>
    <n v="93"/>
    <x v="9"/>
    <x v="2"/>
    <x v="30"/>
    <n v="21"/>
    <x v="75"/>
    <n v="13293"/>
    <n v="385"/>
  </r>
  <r>
    <n v="94"/>
    <x v="10"/>
    <x v="3"/>
    <x v="74"/>
    <n v="13"/>
    <x v="24"/>
    <n v="5616"/>
    <n v="263"/>
  </r>
  <r>
    <n v="95"/>
    <x v="1"/>
    <x v="2"/>
    <x v="75"/>
    <n v="14"/>
    <x v="43"/>
    <n v="9170"/>
    <n v="399"/>
  </r>
  <r>
    <n v="96"/>
    <x v="2"/>
    <x v="0"/>
    <x v="76"/>
    <n v="15"/>
    <x v="54"/>
    <n v="11775"/>
    <n v="480"/>
  </r>
  <r>
    <n v="97"/>
    <x v="3"/>
    <x v="3"/>
    <x v="0"/>
    <n v="9"/>
    <x v="76"/>
    <n v="1323"/>
    <n v="90"/>
  </r>
  <r>
    <n v="98"/>
    <x v="8"/>
    <x v="0"/>
    <x v="77"/>
    <n v="17"/>
    <x v="46"/>
    <n v="14688"/>
    <n v="527"/>
  </r>
  <r>
    <n v="99"/>
    <x v="5"/>
    <x v="3"/>
    <x v="48"/>
    <n v="20"/>
    <x v="47"/>
    <n v="19980"/>
    <n v="610"/>
  </r>
  <r>
    <n v="100"/>
    <x v="4"/>
    <x v="1"/>
    <x v="22"/>
    <n v="16"/>
    <x v="45"/>
    <n v="11552"/>
    <n v="441"/>
  </r>
  <r>
    <n v="101"/>
    <x v="6"/>
    <x v="0"/>
    <x v="31"/>
    <n v="8"/>
    <x v="14"/>
    <n v="1000"/>
    <n v="76"/>
  </r>
  <r>
    <n v="102"/>
    <x v="7"/>
    <x v="3"/>
    <x v="43"/>
    <n v="16"/>
    <x v="55"/>
    <n v="12432"/>
    <n v="475"/>
  </r>
  <r>
    <n v="103"/>
    <x v="9"/>
    <x v="2"/>
    <x v="37"/>
    <n v="12"/>
    <x v="77"/>
    <n v="4104"/>
    <n v="209"/>
  </r>
  <r>
    <n v="104"/>
    <x v="10"/>
    <x v="1"/>
    <x v="38"/>
    <n v="13"/>
    <x v="78"/>
    <n v="5889"/>
    <n v="276"/>
  </r>
  <r>
    <n v="105"/>
    <x v="1"/>
    <x v="2"/>
    <x v="25"/>
    <n v="10"/>
    <x v="79"/>
    <n v="2380"/>
    <n v="145"/>
  </r>
  <r>
    <n v="106"/>
    <x v="2"/>
    <x v="0"/>
    <x v="44"/>
    <n v="19"/>
    <x v="80"/>
    <n v="8892"/>
    <n v="286"/>
  </r>
  <r>
    <n v="107"/>
    <x v="3"/>
    <x v="3"/>
    <x v="51"/>
    <n v="11"/>
    <x v="60"/>
    <n v="3916"/>
    <n v="217"/>
  </r>
  <r>
    <n v="108"/>
    <x v="8"/>
    <x v="0"/>
    <x v="26"/>
    <n v="17"/>
    <x v="81"/>
    <n v="13583"/>
    <n v="488"/>
  </r>
  <r>
    <n v="109"/>
    <x v="5"/>
    <x v="3"/>
    <x v="50"/>
    <n v="15"/>
    <x v="13"/>
    <n v="11835"/>
    <n v="480"/>
  </r>
  <r>
    <n v="110"/>
    <x v="4"/>
    <x v="0"/>
    <x v="32"/>
    <n v="8"/>
    <x v="82"/>
    <n v="1248"/>
    <n v="95"/>
  </r>
  <r>
    <n v="111"/>
    <x v="6"/>
    <x v="2"/>
    <x v="46"/>
    <n v="14"/>
    <x v="43"/>
    <n v="9170"/>
    <n v="399"/>
  </r>
  <r>
    <n v="112"/>
    <x v="7"/>
    <x v="2"/>
    <x v="35"/>
    <n v="10"/>
    <x v="83"/>
    <n v="2390"/>
    <n v="146"/>
  </r>
  <r>
    <n v="113"/>
    <x v="9"/>
    <x v="3"/>
    <x v="45"/>
    <n v="16"/>
    <x v="84"/>
    <n v="11920"/>
    <n v="454"/>
  </r>
  <r>
    <n v="114"/>
    <x v="10"/>
    <x v="1"/>
    <x v="43"/>
    <n v="19"/>
    <x v="6"/>
    <n v="9291"/>
    <n v="298"/>
  </r>
  <r>
    <n v="115"/>
    <x v="1"/>
    <x v="2"/>
    <x v="43"/>
    <n v="9"/>
    <x v="85"/>
    <n v="1746"/>
    <n v="118"/>
  </r>
  <r>
    <n v="116"/>
    <x v="2"/>
    <x v="0"/>
    <x v="78"/>
    <n v="15"/>
    <x v="42"/>
    <n v="11790"/>
    <n v="479"/>
  </r>
  <r>
    <n v="117"/>
    <x v="3"/>
    <x v="3"/>
    <x v="33"/>
    <n v="10"/>
    <x v="86"/>
    <n v="2190"/>
    <n v="133"/>
  </r>
  <r>
    <n v="118"/>
    <x v="8"/>
    <x v="0"/>
    <x v="59"/>
    <n v="17"/>
    <x v="34"/>
    <n v="13005"/>
    <n v="466"/>
  </r>
  <r>
    <n v="119"/>
    <x v="5"/>
    <x v="3"/>
    <x v="57"/>
    <n v="12"/>
    <x v="87"/>
    <n v="3996"/>
    <n v="203"/>
  </r>
  <r>
    <n v="120"/>
    <x v="4"/>
    <x v="0"/>
    <x v="58"/>
    <n v="15"/>
    <x v="13"/>
    <n v="11835"/>
    <n v="480"/>
  </r>
  <r>
    <n v="121"/>
    <x v="6"/>
    <x v="2"/>
    <x v="55"/>
    <n v="9"/>
    <x v="49"/>
    <n v="1143"/>
    <n v="77"/>
  </r>
  <r>
    <n v="122"/>
    <x v="7"/>
    <x v="3"/>
    <x v="54"/>
    <n v="14"/>
    <x v="43"/>
    <n v="9170"/>
    <n v="399"/>
  </r>
  <r>
    <n v="123"/>
    <x v="9"/>
    <x v="3"/>
    <x v="46"/>
    <n v="10"/>
    <x v="88"/>
    <n v="2250"/>
    <n v="1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386ACB-5142-46FE-83D0-531CC8572FA8}" name="PivotTable2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71:H484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9C134-0D27-4A23-BE7E-8E6E6E9616B0}" name="PivotTable2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87:C467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38242D-DD8A-48CB-B391-195FEE736A23}" name="PivotTable2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71:C383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60314-B57A-4966-9D9D-A196A766742B}" name="PivotTable2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66:C367" firstHeaderRow="1" firstDataRow="1" firstDataCol="0"/>
  <pivotFields count="8"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1C2FED-B5BB-4621-91D0-4F35CE187168}" name="PivotTable2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57:D362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ED699D-960A-4F08-AB87-50792485E0C9}" name="PivotTable2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52:C353" firstHeaderRow="1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C3CCBC-F4C9-4D33-9ECC-B8E0C33ADEB1}" name="PivotTable2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45:E348" firstHeaderRow="1" firstDataRow="2" firstDataCol="1"/>
  <pivotFields count="8">
    <pivotField showAll="0"/>
    <pivotField showAll="0"/>
    <pivotField axis="axisCol" showAll="0" sortType="descending">
      <items count="5">
        <item h="1" x="3"/>
        <item h="1" x="1"/>
        <item x="0"/>
        <item h="1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80">
        <item h="1" x="60"/>
        <item h="1" x="0"/>
        <item h="1" x="71"/>
        <item h="1" x="1"/>
        <item h="1" x="21"/>
        <item h="1" x="25"/>
        <item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h="1" x="48"/>
        <item h="1" x="38"/>
        <item h="1" x="52"/>
        <item h="1" x="14"/>
        <item h="1" x="20"/>
        <item h="1" x="18"/>
        <item h="1" x="51"/>
        <item h="1"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</pivotFields>
  <rowFields count="1">
    <field x="3"/>
  </rowFields>
  <rowItems count="2">
    <i>
      <x v="6"/>
    </i>
    <i t="grand">
      <x/>
    </i>
  </rowItems>
  <colFields count="1">
    <field x="2"/>
  </colFields>
  <colItems count="2">
    <i>
      <x v="2"/>
    </i>
    <i t="grand">
      <x/>
    </i>
  </colItems>
  <dataFields count="1">
    <dataField name="Max of Sales" fld="5" subtotal="max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5E572-9F11-4BC4-B160-8D364D5A7654}" name="PivotTable2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35:O341" firstHeaderRow="1" firstDataRow="2" firstDataCol="1"/>
  <pivotFields count="8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214C9-89DF-457C-8419-52754537F87D}" name="PivotTable1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19:D331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Sales" fld="5" subtotal="average" baseField="1" baseItem="0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312A55-3E7C-416F-A09E-D73885EA10D2}" name="PivotTable1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02:H315" firstHeaderRow="1" firstDataRow="2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Max of Sales" fld="5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112C2-946A-40FB-B1F4-CA08067D24B6}" name="PivotTable1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96:D298" firstHeaderRow="1" firstDataRow="1" firstDataCol="1"/>
  <pivotFields count="8">
    <pivotField showAll="0"/>
    <pivotField axis="axisRow" showAll="0" sortType="ascending">
      <items count="12">
        <item h="1" x="6"/>
        <item h="1" x="8"/>
        <item h="1" x="3"/>
        <item h="1" x="1"/>
        <item h="1" x="2"/>
        <item h="1" x="10"/>
        <item h="1" x="5"/>
        <item h="1" x="4"/>
        <item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8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E1A59E-9A8B-45DC-AD75-B3FB6EFA4BAA}" name="PivotTable1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90:D292" firstHeaderRow="1" firstDataRow="1" firstDataCol="1"/>
  <pivotFields count="8">
    <pivotField showAll="0"/>
    <pivotField axis="axisRow" showAll="0" sortType="descending">
      <items count="12">
        <item h="1" x="6"/>
        <item h="1" x="8"/>
        <item h="1" x="3"/>
        <item h="1" x="1"/>
        <item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2">
    <i>
      <x v="4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C8F70-2E95-4E95-AEF9-F2FD02FDEFCF}" name="PivotTable1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4:D286" firstHeaderRow="1" firstDataRow="1" firstDataCol="1"/>
  <pivotFields count="8">
    <pivotField showAll="0"/>
    <pivotField axis="axisRow" showAll="0" sortType="descending">
      <items count="12">
        <item h="1" x="6"/>
        <item x="8"/>
        <item h="1" x="3"/>
        <item h="1" x="1"/>
        <item h="1" x="2"/>
        <item h="1" x="10"/>
        <item h="1" x="5"/>
        <item h="1" x="4"/>
        <item h="1" x="0"/>
        <item h="1" x="9"/>
        <item h="1"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2">
    <i>
      <x v="1"/>
    </i>
    <i t="grand">
      <x/>
    </i>
  </rowItems>
  <colItems count="1">
    <i/>
  </colItems>
  <dataFields count="1">
    <dataField name="Max of Units" fld="4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0323FE-8608-42B0-AC3D-EF77B9EE6EA3}" name="PivotTable1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75:E280" firstHeaderRow="0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Sales" fld="5" subtotal="max" baseField="2" baseItem="0"/>
    <dataField name="Min of Sales2" fld="5" subtotal="min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2E8D4-510A-466F-A052-B71C44FF6039}" name="PivotTable1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69:D271" firstHeaderRow="1" firstDataRow="1" firstDataCol="1"/>
  <pivotFields count="8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h="1" x="48"/>
        <item h="1" x="38"/>
        <item h="1" x="52"/>
        <item h="1" x="14"/>
        <item h="1" x="20"/>
        <item h="1" x="18"/>
        <item h="1" x="51"/>
        <item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3"/>
  </rowFields>
  <rowItems count="2">
    <i>
      <x v="57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7A2CD-677B-4C61-8ABE-25F314F11E9F}" name="PivotTable1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85:D265" firstHeaderRow="1" firstDataRow="1" firstDataCol="1"/>
  <pivotFields count="8">
    <pivotField showAll="0"/>
    <pivotField showAll="0"/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showAll="0"/>
    <pivotField showAll="0">
      <items count="90">
        <item x="5"/>
        <item x="14"/>
        <item x="49"/>
        <item x="22"/>
        <item x="56"/>
        <item x="76"/>
        <item x="82"/>
        <item x="50"/>
        <item x="26"/>
        <item x="66"/>
        <item x="41"/>
        <item x="38"/>
        <item x="85"/>
        <item x="8"/>
        <item x="64"/>
        <item x="31"/>
        <item x="17"/>
        <item x="86"/>
        <item x="53"/>
        <item x="20"/>
        <item x="88"/>
        <item x="59"/>
        <item x="79"/>
        <item x="83"/>
        <item x="32"/>
        <item x="29"/>
        <item x="73"/>
        <item x="9"/>
        <item x="25"/>
        <item x="68"/>
        <item x="52"/>
        <item x="18"/>
        <item x="39"/>
        <item x="36"/>
        <item x="74"/>
        <item x="87"/>
        <item x="21"/>
        <item x="77"/>
        <item x="3"/>
        <item x="7"/>
        <item x="69"/>
        <item x="60"/>
        <item x="72"/>
        <item x="15"/>
        <item x="24"/>
        <item x="78"/>
        <item x="19"/>
        <item x="71"/>
        <item x="80"/>
        <item x="65"/>
        <item x="6"/>
        <item x="37"/>
        <item x="0"/>
        <item x="16"/>
        <item x="40"/>
        <item x="27"/>
        <item x="35"/>
        <item x="75"/>
        <item x="51"/>
        <item x="12"/>
        <item x="2"/>
        <item x="43"/>
        <item x="58"/>
        <item x="4"/>
        <item x="23"/>
        <item x="57"/>
        <item x="63"/>
        <item x="61"/>
        <item x="45"/>
        <item x="70"/>
        <item x="84"/>
        <item x="67"/>
        <item x="48"/>
        <item x="34"/>
        <item x="55"/>
        <item x="54"/>
        <item x="42"/>
        <item x="13"/>
        <item x="1"/>
        <item x="28"/>
        <item x="81"/>
        <item x="10"/>
        <item x="46"/>
        <item x="33"/>
        <item x="11"/>
        <item x="30"/>
        <item x="62"/>
        <item x="44"/>
        <item x="47"/>
        <item t="default"/>
      </items>
    </pivotField>
    <pivotField dataField="1"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5489EE-B678-44B7-B975-F02ABE7A1CF8}" name="PivotTable1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6:D181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4EAF71-BE3F-46CD-BAFD-A13219FB4856}" name="PivotTable1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60:D172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al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EDFAB-C5C3-422E-8FA2-C5E78B2F1EEC}" name="PivotTable9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4:D156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COGS" fld="7" subtotal="average" baseField="0" baseItem="0" numFmtId="2"/>
  </dataFields>
  <formats count="3">
    <format dxfId="3">
      <pivotArea grandRow="1" outline="0" collapsedLevelsAreSubtotals="1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4FFE0-EBB9-4054-94BD-02C110743D80}" name="PivotTable8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7:D139" firstHeaderRow="1" firstDataRow="1" firstDataCol="1"/>
  <pivotFields count="8">
    <pivotField showAll="0"/>
    <pivotField showAll="0"/>
    <pivotField showAll="0"/>
    <pivotField axis="axisRow" showAll="0" sortType="descending">
      <items count="80">
        <item h="1" x="60"/>
        <item h="1" x="0"/>
        <item h="1" x="71"/>
        <item h="1" x="1"/>
        <item h="1" x="21"/>
        <item h="1" x="25"/>
        <item h="1" x="59"/>
        <item h="1" x="2"/>
        <item h="1" x="42"/>
        <item h="1" x="34"/>
        <item h="1" x="49"/>
        <item h="1" x="76"/>
        <item h="1" x="61"/>
        <item h="1" x="22"/>
        <item h="1" x="53"/>
        <item h="1" x="45"/>
        <item h="1" x="70"/>
        <item h="1" x="12"/>
        <item h="1" x="68"/>
        <item h="1" x="39"/>
        <item h="1" x="35"/>
        <item h="1" x="3"/>
        <item h="1" x="24"/>
        <item h="1" x="23"/>
        <item h="1" x="72"/>
        <item h="1" x="26"/>
        <item h="1" x="4"/>
        <item h="1" x="65"/>
        <item h="1" x="37"/>
        <item h="1" x="57"/>
        <item h="1" x="5"/>
        <item h="1" x="8"/>
        <item h="1" x="75"/>
        <item h="1" x="73"/>
        <item h="1" x="50"/>
        <item h="1" x="31"/>
        <item h="1" x="9"/>
        <item h="1" x="40"/>
        <item h="1" x="69"/>
        <item h="1" x="13"/>
        <item h="1" x="28"/>
        <item h="1" x="55"/>
        <item h="1" x="63"/>
        <item h="1" x="17"/>
        <item h="1" x="6"/>
        <item h="1" x="46"/>
        <item h="1" x="16"/>
        <item h="1" x="10"/>
        <item h="1" x="43"/>
        <item h="1" x="36"/>
        <item h="1" x="48"/>
        <item h="1" x="38"/>
        <item h="1" x="52"/>
        <item h="1" x="14"/>
        <item h="1" x="20"/>
        <item h="1" x="18"/>
        <item h="1" x="51"/>
        <item x="32"/>
        <item h="1" x="7"/>
        <item h="1" x="66"/>
        <item h="1" x="11"/>
        <item h="1" x="74"/>
        <item h="1" x="41"/>
        <item h="1" x="67"/>
        <item h="1" x="29"/>
        <item h="1" x="15"/>
        <item h="1" x="62"/>
        <item h="1" x="19"/>
        <item h="1" x="47"/>
        <item h="1" x="64"/>
        <item h="1" x="58"/>
        <item h="1" x="30"/>
        <item h="1" x="44"/>
        <item h="1" x="78"/>
        <item h="1" x="27"/>
        <item h="1" x="33"/>
        <item h="1" x="56"/>
        <item h="1" x="54"/>
        <item h="1" x="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3"/>
  </rowFields>
  <rowItems count="2">
    <i>
      <x v="57"/>
    </i>
    <i t="grand">
      <x/>
    </i>
  </rowItems>
  <colItems count="1">
    <i/>
  </colItems>
  <dataFields count="1">
    <dataField name="Max of Total Sales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F4E94-8369-4416-AEAB-35A5B189A28D}" name="PivotTable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30:E133" firstHeaderRow="1" firstDataRow="2" firstDataCol="1"/>
  <pivotFields count="8">
    <pivotField showAll="0"/>
    <pivotField axis="axisCol" showAll="0">
      <items count="12">
        <item h="1" x="6"/>
        <item h="1" x="8"/>
        <item h="1" x="3"/>
        <item h="1" x="1"/>
        <item h="1" x="2"/>
        <item h="1" x="10"/>
        <item x="5"/>
        <item h="1" x="4"/>
        <item h="1" x="0"/>
        <item h="1" x="9"/>
        <item h="1" x="7"/>
        <item t="default"/>
      </items>
    </pivotField>
    <pivotField axis="axisRow" showAll="0">
      <items count="5">
        <item h="1" x="3"/>
        <item h="1" x="1"/>
        <item x="0"/>
        <item h="1"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2">
    <i>
      <x v="2"/>
    </i>
    <i t="grand">
      <x/>
    </i>
  </rowItems>
  <colFields count="1">
    <field x="1"/>
  </colFields>
  <colItems count="2">
    <i>
      <x v="6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BF90E-F2DA-4E7D-8842-03147B14BBE7}" name="PivotTable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44:O125" firstHeaderRow="1" firstDataRow="2" firstDataCol="1"/>
  <pivotFields count="8">
    <pivotField showAll="0"/>
    <pivotField axis="axisCol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axis="axisRow" showAll="0">
      <items count="80">
        <item x="60"/>
        <item x="0"/>
        <item x="71"/>
        <item x="1"/>
        <item x="21"/>
        <item x="25"/>
        <item x="59"/>
        <item x="2"/>
        <item x="42"/>
        <item x="34"/>
        <item x="49"/>
        <item x="76"/>
        <item x="61"/>
        <item x="22"/>
        <item x="53"/>
        <item x="45"/>
        <item x="70"/>
        <item x="12"/>
        <item x="68"/>
        <item x="39"/>
        <item x="35"/>
        <item x="3"/>
        <item x="24"/>
        <item x="23"/>
        <item x="72"/>
        <item x="26"/>
        <item x="4"/>
        <item x="65"/>
        <item x="37"/>
        <item x="57"/>
        <item x="5"/>
        <item x="8"/>
        <item x="75"/>
        <item x="73"/>
        <item x="50"/>
        <item x="31"/>
        <item x="9"/>
        <item x="40"/>
        <item x="69"/>
        <item x="13"/>
        <item x="28"/>
        <item x="55"/>
        <item x="63"/>
        <item x="17"/>
        <item x="6"/>
        <item x="46"/>
        <item x="16"/>
        <item x="10"/>
        <item x="43"/>
        <item x="36"/>
        <item x="48"/>
        <item x="38"/>
        <item x="52"/>
        <item x="14"/>
        <item x="20"/>
        <item x="18"/>
        <item x="51"/>
        <item x="32"/>
        <item x="7"/>
        <item x="66"/>
        <item x="11"/>
        <item x="74"/>
        <item x="41"/>
        <item x="67"/>
        <item x="29"/>
        <item x="15"/>
        <item x="62"/>
        <item x="19"/>
        <item x="47"/>
        <item x="64"/>
        <item x="58"/>
        <item x="30"/>
        <item x="44"/>
        <item x="78"/>
        <item x="27"/>
        <item x="33"/>
        <item x="56"/>
        <item x="54"/>
        <item x="77"/>
        <item t="default"/>
      </items>
    </pivotField>
    <pivotField dataField="1" showAll="0"/>
    <pivotField showAll="0"/>
    <pivotField showAll="0"/>
    <pivotField showAll="0"/>
  </pivotFields>
  <rowFields count="1">
    <field x="3"/>
  </rowFields>
  <rowItems count="8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 t="grand">
      <x/>
    </i>
  </rowItems>
  <colFields count="1">
    <field x="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Unit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358158-1006-4058-B567-4E7136822401}" name="PivotTable5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8:C40" firstHeaderRow="1" firstDataRow="1" firstDataCol="1"/>
  <pivotFields count="8">
    <pivotField showAll="0"/>
    <pivotField axis="axisRow" showAll="0">
      <items count="12">
        <item x="6"/>
        <item x="8"/>
        <item x="3"/>
        <item x="1"/>
        <item x="2"/>
        <item x="10"/>
        <item x="5"/>
        <item x="4"/>
        <item x="0"/>
        <item x="9"/>
        <item x="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71EA3-0B8F-4B04-8AD5-5823F2D3A881}" name="PivotTable4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2:D24" firstHeaderRow="1" firstDataRow="1" firstDataCol="1"/>
  <pivotFields count="8">
    <pivotField showAll="0"/>
    <pivotField axis="axisRow" showAll="0">
      <items count="12">
        <item h="1" x="6"/>
        <item h="1" x="8"/>
        <item h="1" x="3"/>
        <item x="1"/>
        <item h="1" x="2"/>
        <item h="1" x="10"/>
        <item h="1" x="5"/>
        <item h="1" x="4"/>
        <item h="1" x="0"/>
        <item h="1" x="9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2">
    <i>
      <x v="3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17524A-3D61-4EBB-9DD8-45F76B0E1CD8}" name="PivotTable3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C18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Max of COGS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183A0C-4EEC-4A65-A7BA-66E8DFCC3D77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8" firstHeaderRow="1" firstDataRow="1" firstDataCol="1"/>
  <pivotFields count="8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F2B6E-D849-42A6-86E6-C2667A796CF6}" name="PivotTable2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2:C13" firstHeaderRow="1" firstDataRow="1" firstDataCol="0"/>
  <pivotFields count="8"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Average of Sales" fld="5" subtotal="average" baseField="0" baseItem="0" numFmtId="2"/>
  </dataFields>
  <formats count="1">
    <format dxfId="1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A184F-D0B4-4103-9D6E-8C5E1403FFBA}" name="sales" displayName="sales" ref="A1:H124" totalsRowShown="0" headerRowDxfId="5" dataDxfId="4" headerRowBorderDxfId="17" tableBorderDxfId="16" totalsRowBorderDxfId="15">
  <autoFilter ref="A1:H124" xr:uid="{D10A184F-D0B4-4103-9D6E-8C5E1403FFBA}"/>
  <tableColumns count="8">
    <tableColumn id="1" xr3:uid="{1C9B19D6-5D1D-41EB-8805-05F39DF204B8}" name="Sr. No." dataDxfId="13"/>
    <tableColumn id="2" xr3:uid="{92DBD297-9546-42E8-A368-5F0493E59116}" name="Product" dataDxfId="12"/>
    <tableColumn id="3" xr3:uid="{D6AA8D17-DE1E-461D-A506-882B495C0A4D}" name="Region" dataDxfId="11"/>
    <tableColumn id="4" xr3:uid="{4CA9E758-74F2-440E-9C44-070EA9A39B9A}" name="Names" dataDxfId="10"/>
    <tableColumn id="5" xr3:uid="{914E7C4C-743F-4712-9F5D-7AA9B75D4E99}" name="Units" dataDxfId="9"/>
    <tableColumn id="6" xr3:uid="{AFD4235E-CBCC-4B6B-8E33-EDCB7C560D4F}" name="Sales" dataDxfId="8"/>
    <tableColumn id="8" xr3:uid="{FDCFD820-48A8-435D-93B3-578DACBDEFE4}" name="Total Sales" dataDxfId="7">
      <calculatedColumnFormula>sales[[#This Row],[Units]]*sales[[#This Row],[Sales]]</calculatedColumnFormula>
    </tableColumn>
    <tableColumn id="7" xr3:uid="{A32B3D21-4FC7-437B-8D35-8BD7D8E9BE66}" name="COG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8D069-1D5F-4FC9-B457-185F2D0E0A8B}">
  <dimension ref="A1:H124"/>
  <sheetViews>
    <sheetView zoomScale="130" zoomScaleNormal="130" workbookViewId="0">
      <selection sqref="A1:H124"/>
    </sheetView>
  </sheetViews>
  <sheetFormatPr defaultRowHeight="14.4" x14ac:dyDescent="0.3"/>
  <cols>
    <col min="2" max="2" width="12.109375" bestFit="1" customWidth="1"/>
    <col min="7" max="7" width="14.33203125" bestFit="1" customWidth="1"/>
  </cols>
  <sheetData>
    <row r="1" spans="1:8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143</v>
      </c>
      <c r="H1" s="12" t="s">
        <v>6</v>
      </c>
    </row>
    <row r="2" spans="1:8" x14ac:dyDescent="0.3">
      <c r="A2" s="13">
        <v>1</v>
      </c>
      <c r="B2" s="14" t="s">
        <v>7</v>
      </c>
      <c r="C2" s="14" t="s">
        <v>8</v>
      </c>
      <c r="D2" s="14" t="s">
        <v>9</v>
      </c>
      <c r="E2" s="14">
        <v>15</v>
      </c>
      <c r="F2" s="14">
        <v>523</v>
      </c>
      <c r="G2" s="15">
        <f>sales[[#This Row],[Units]]*sales[[#This Row],[Sales]]</f>
        <v>7845</v>
      </c>
      <c r="H2" s="15">
        <v>321</v>
      </c>
    </row>
    <row r="3" spans="1:8" x14ac:dyDescent="0.3">
      <c r="A3" s="13">
        <v>2</v>
      </c>
      <c r="B3" s="14" t="s">
        <v>7</v>
      </c>
      <c r="C3" s="14" t="s">
        <v>8</v>
      </c>
      <c r="D3" s="14" t="s">
        <v>10</v>
      </c>
      <c r="E3" s="14">
        <v>20</v>
      </c>
      <c r="F3" s="14">
        <v>792</v>
      </c>
      <c r="G3" s="15">
        <f>sales[[#This Row],[Units]]*sales[[#This Row],[Sales]]</f>
        <v>15840</v>
      </c>
      <c r="H3" s="15">
        <v>456</v>
      </c>
    </row>
    <row r="4" spans="1:8" x14ac:dyDescent="0.3">
      <c r="A4" s="13">
        <v>3</v>
      </c>
      <c r="B4" s="14" t="s">
        <v>7</v>
      </c>
      <c r="C4" s="14" t="s">
        <v>8</v>
      </c>
      <c r="D4" s="14" t="s">
        <v>11</v>
      </c>
      <c r="E4" s="14">
        <v>18</v>
      </c>
      <c r="F4" s="14">
        <v>654</v>
      </c>
      <c r="G4" s="15">
        <f>sales[[#This Row],[Units]]*sales[[#This Row],[Sales]]</f>
        <v>11772</v>
      </c>
      <c r="H4" s="15">
        <v>398</v>
      </c>
    </row>
    <row r="5" spans="1:8" x14ac:dyDescent="0.3">
      <c r="A5" s="13">
        <v>4</v>
      </c>
      <c r="B5" s="14" t="s">
        <v>7</v>
      </c>
      <c r="C5" s="14" t="s">
        <v>8</v>
      </c>
      <c r="D5" s="14" t="s">
        <v>12</v>
      </c>
      <c r="E5" s="14">
        <v>14</v>
      </c>
      <c r="F5" s="14">
        <v>345</v>
      </c>
      <c r="G5" s="15">
        <f>sales[[#This Row],[Units]]*sales[[#This Row],[Sales]]</f>
        <v>4830</v>
      </c>
      <c r="H5" s="15">
        <v>210</v>
      </c>
    </row>
    <row r="6" spans="1:8" x14ac:dyDescent="0.3">
      <c r="A6" s="13">
        <v>5</v>
      </c>
      <c r="B6" s="14" t="s">
        <v>7</v>
      </c>
      <c r="C6" s="14" t="s">
        <v>8</v>
      </c>
      <c r="D6" s="14" t="s">
        <v>13</v>
      </c>
      <c r="E6" s="14">
        <v>16</v>
      </c>
      <c r="F6" s="14">
        <v>678</v>
      </c>
      <c r="G6" s="15">
        <f>sales[[#This Row],[Units]]*sales[[#This Row],[Sales]]</f>
        <v>10848</v>
      </c>
      <c r="H6" s="15">
        <v>412</v>
      </c>
    </row>
    <row r="7" spans="1:8" x14ac:dyDescent="0.3">
      <c r="A7" s="13">
        <v>6</v>
      </c>
      <c r="B7" s="14" t="s">
        <v>14</v>
      </c>
      <c r="C7" s="14" t="s">
        <v>15</v>
      </c>
      <c r="D7" s="14" t="s">
        <v>16</v>
      </c>
      <c r="E7" s="14">
        <v>22</v>
      </c>
      <c r="F7" s="14">
        <v>123</v>
      </c>
      <c r="G7" s="15">
        <f>sales[[#This Row],[Units]]*sales[[#This Row],[Sales]]</f>
        <v>2706</v>
      </c>
      <c r="H7" s="15">
        <v>78</v>
      </c>
    </row>
    <row r="8" spans="1:8" x14ac:dyDescent="0.3">
      <c r="A8" s="13">
        <v>7</v>
      </c>
      <c r="B8" s="14" t="s">
        <v>14</v>
      </c>
      <c r="C8" s="14" t="s">
        <v>15</v>
      </c>
      <c r="D8" s="14" t="s">
        <v>17</v>
      </c>
      <c r="E8" s="14">
        <v>19</v>
      </c>
      <c r="F8" s="14">
        <v>489</v>
      </c>
      <c r="G8" s="15">
        <f>sales[[#This Row],[Units]]*sales[[#This Row],[Sales]]</f>
        <v>9291</v>
      </c>
      <c r="H8" s="15">
        <v>286</v>
      </c>
    </row>
    <row r="9" spans="1:8" x14ac:dyDescent="0.3">
      <c r="A9" s="13">
        <v>8</v>
      </c>
      <c r="B9" s="14" t="s">
        <v>14</v>
      </c>
      <c r="C9" s="14" t="s">
        <v>15</v>
      </c>
      <c r="D9" s="14" t="s">
        <v>18</v>
      </c>
      <c r="E9" s="14">
        <v>12</v>
      </c>
      <c r="F9" s="14">
        <v>354</v>
      </c>
      <c r="G9" s="15">
        <f>sales[[#This Row],[Units]]*sales[[#This Row],[Sales]]</f>
        <v>4248</v>
      </c>
      <c r="H9" s="15">
        <v>215</v>
      </c>
    </row>
    <row r="10" spans="1:8" x14ac:dyDescent="0.3">
      <c r="A10" s="13">
        <v>9</v>
      </c>
      <c r="B10" s="14" t="s">
        <v>14</v>
      </c>
      <c r="C10" s="14" t="s">
        <v>15</v>
      </c>
      <c r="D10" s="14" t="s">
        <v>19</v>
      </c>
      <c r="E10" s="14">
        <v>9</v>
      </c>
      <c r="F10" s="14">
        <v>195</v>
      </c>
      <c r="G10" s="15">
        <f>sales[[#This Row],[Units]]*sales[[#This Row],[Sales]]</f>
        <v>1755</v>
      </c>
      <c r="H10" s="15">
        <v>114</v>
      </c>
    </row>
    <row r="11" spans="1:8" x14ac:dyDescent="0.3">
      <c r="A11" s="13">
        <v>10</v>
      </c>
      <c r="B11" s="14" t="s">
        <v>20</v>
      </c>
      <c r="C11" s="14" t="s">
        <v>21</v>
      </c>
      <c r="D11" s="14" t="s">
        <v>22</v>
      </c>
      <c r="E11" s="14">
        <v>11</v>
      </c>
      <c r="F11" s="14">
        <v>274</v>
      </c>
      <c r="G11" s="15">
        <f>sales[[#This Row],[Units]]*sales[[#This Row],[Sales]]</f>
        <v>3014</v>
      </c>
      <c r="H11" s="15">
        <v>167</v>
      </c>
    </row>
    <row r="12" spans="1:8" x14ac:dyDescent="0.3">
      <c r="A12" s="13">
        <v>11</v>
      </c>
      <c r="B12" s="14" t="s">
        <v>20</v>
      </c>
      <c r="C12" s="14" t="s">
        <v>21</v>
      </c>
      <c r="D12" s="14" t="s">
        <v>23</v>
      </c>
      <c r="E12" s="14">
        <v>26</v>
      </c>
      <c r="F12" s="14">
        <v>837</v>
      </c>
      <c r="G12" s="15">
        <f>sales[[#This Row],[Units]]*sales[[#This Row],[Sales]]</f>
        <v>21762</v>
      </c>
      <c r="H12" s="15">
        <v>512</v>
      </c>
    </row>
    <row r="13" spans="1:8" x14ac:dyDescent="0.3">
      <c r="A13" s="13">
        <v>12</v>
      </c>
      <c r="B13" s="14" t="s">
        <v>20</v>
      </c>
      <c r="C13" s="14" t="s">
        <v>21</v>
      </c>
      <c r="D13" s="14" t="s">
        <v>24</v>
      </c>
      <c r="E13" s="14">
        <v>28</v>
      </c>
      <c r="F13" s="14">
        <v>911</v>
      </c>
      <c r="G13" s="15">
        <f>sales[[#This Row],[Units]]*sales[[#This Row],[Sales]]</f>
        <v>25508</v>
      </c>
      <c r="H13" s="15">
        <v>556</v>
      </c>
    </row>
    <row r="14" spans="1:8" x14ac:dyDescent="0.3">
      <c r="A14" s="13">
        <v>13</v>
      </c>
      <c r="B14" s="14" t="s">
        <v>20</v>
      </c>
      <c r="C14" s="14" t="s">
        <v>21</v>
      </c>
      <c r="D14" s="14" t="s">
        <v>25</v>
      </c>
      <c r="E14" s="14">
        <v>21</v>
      </c>
      <c r="F14" s="14">
        <v>653</v>
      </c>
      <c r="G14" s="15">
        <f>sales[[#This Row],[Units]]*sales[[#This Row],[Sales]]</f>
        <v>13713</v>
      </c>
      <c r="H14" s="15">
        <v>398</v>
      </c>
    </row>
    <row r="15" spans="1:8" x14ac:dyDescent="0.3">
      <c r="A15" s="13">
        <v>14</v>
      </c>
      <c r="B15" s="14" t="s">
        <v>26</v>
      </c>
      <c r="C15" s="14" t="s">
        <v>27</v>
      </c>
      <c r="D15" s="14" t="s">
        <v>28</v>
      </c>
      <c r="E15" s="14">
        <v>17</v>
      </c>
      <c r="F15" s="14">
        <v>789</v>
      </c>
      <c r="G15" s="15">
        <f>sales[[#This Row],[Units]]*sales[[#This Row],[Sales]]</f>
        <v>13413</v>
      </c>
      <c r="H15" s="15">
        <v>458</v>
      </c>
    </row>
    <row r="16" spans="1:8" x14ac:dyDescent="0.3">
      <c r="A16" s="13">
        <v>15</v>
      </c>
      <c r="B16" s="14" t="s">
        <v>26</v>
      </c>
      <c r="C16" s="14" t="s">
        <v>27</v>
      </c>
      <c r="D16" s="14" t="s">
        <v>29</v>
      </c>
      <c r="E16" s="14">
        <v>8</v>
      </c>
      <c r="F16" s="14">
        <v>125</v>
      </c>
      <c r="G16" s="15">
        <f>sales[[#This Row],[Units]]*sales[[#This Row],[Sales]]</f>
        <v>1000</v>
      </c>
      <c r="H16" s="15">
        <v>76</v>
      </c>
    </row>
    <row r="17" spans="1:8" x14ac:dyDescent="0.3">
      <c r="A17" s="13">
        <v>16</v>
      </c>
      <c r="B17" s="14" t="s">
        <v>26</v>
      </c>
      <c r="C17" s="14" t="s">
        <v>27</v>
      </c>
      <c r="D17" s="14" t="s">
        <v>30</v>
      </c>
      <c r="E17" s="14">
        <v>14</v>
      </c>
      <c r="F17" s="14">
        <v>367</v>
      </c>
      <c r="G17" s="15">
        <f>sales[[#This Row],[Units]]*sales[[#This Row],[Sales]]</f>
        <v>5138</v>
      </c>
      <c r="H17" s="15">
        <v>224</v>
      </c>
    </row>
    <row r="18" spans="1:8" x14ac:dyDescent="0.3">
      <c r="A18" s="13">
        <v>17</v>
      </c>
      <c r="B18" s="14" t="s">
        <v>26</v>
      </c>
      <c r="C18" s="14" t="s">
        <v>27</v>
      </c>
      <c r="D18" s="14" t="s">
        <v>31</v>
      </c>
      <c r="E18" s="14">
        <v>23</v>
      </c>
      <c r="F18" s="14">
        <v>524</v>
      </c>
      <c r="G18" s="15">
        <f>sales[[#This Row],[Units]]*sales[[#This Row],[Sales]]</f>
        <v>12052</v>
      </c>
      <c r="H18" s="15">
        <v>319</v>
      </c>
    </row>
    <row r="19" spans="1:8" x14ac:dyDescent="0.3">
      <c r="A19" s="13">
        <v>18</v>
      </c>
      <c r="B19" s="14" t="s">
        <v>32</v>
      </c>
      <c r="C19" s="14" t="s">
        <v>8</v>
      </c>
      <c r="D19" s="14" t="s">
        <v>33</v>
      </c>
      <c r="E19" s="14">
        <v>13</v>
      </c>
      <c r="F19" s="14">
        <v>213</v>
      </c>
      <c r="G19" s="15">
        <f>sales[[#This Row],[Units]]*sales[[#This Row],[Sales]]</f>
        <v>2769</v>
      </c>
      <c r="H19" s="15">
        <v>130</v>
      </c>
    </row>
    <row r="20" spans="1:8" x14ac:dyDescent="0.3">
      <c r="A20" s="13">
        <v>19</v>
      </c>
      <c r="B20" s="14" t="s">
        <v>32</v>
      </c>
      <c r="C20" s="14" t="s">
        <v>8</v>
      </c>
      <c r="D20" s="14" t="s">
        <v>34</v>
      </c>
      <c r="E20" s="14">
        <v>15</v>
      </c>
      <c r="F20" s="14">
        <v>789</v>
      </c>
      <c r="G20" s="15">
        <f>sales[[#This Row],[Units]]*sales[[#This Row],[Sales]]</f>
        <v>11835</v>
      </c>
      <c r="H20" s="15">
        <v>458</v>
      </c>
    </row>
    <row r="21" spans="1:8" x14ac:dyDescent="0.3">
      <c r="A21" s="13">
        <v>20</v>
      </c>
      <c r="B21" s="14" t="s">
        <v>32</v>
      </c>
      <c r="C21" s="14" t="s">
        <v>8</v>
      </c>
      <c r="D21" s="14" t="s">
        <v>35</v>
      </c>
      <c r="E21" s="14">
        <v>21</v>
      </c>
      <c r="F21" s="14">
        <v>312</v>
      </c>
      <c r="G21" s="15">
        <f>sales[[#This Row],[Units]]*sales[[#This Row],[Sales]]</f>
        <v>6552</v>
      </c>
      <c r="H21" s="15">
        <v>190</v>
      </c>
    </row>
    <row r="22" spans="1:8" x14ac:dyDescent="0.3">
      <c r="A22" s="13">
        <v>21</v>
      </c>
      <c r="B22" s="14" t="s">
        <v>32</v>
      </c>
      <c r="C22" s="14" t="s">
        <v>15</v>
      </c>
      <c r="D22" s="14" t="s">
        <v>36</v>
      </c>
      <c r="E22" s="14">
        <v>19</v>
      </c>
      <c r="F22" s="14">
        <v>456</v>
      </c>
      <c r="G22" s="15">
        <f>sales[[#This Row],[Units]]*sales[[#This Row],[Sales]]</f>
        <v>8664</v>
      </c>
      <c r="H22" s="15">
        <v>279</v>
      </c>
    </row>
    <row r="23" spans="1:8" x14ac:dyDescent="0.3">
      <c r="A23" s="13">
        <v>22</v>
      </c>
      <c r="B23" s="14" t="s">
        <v>37</v>
      </c>
      <c r="C23" s="14" t="s">
        <v>15</v>
      </c>
      <c r="D23" s="14" t="s">
        <v>38</v>
      </c>
      <c r="E23" s="14">
        <v>10</v>
      </c>
      <c r="F23" s="14">
        <v>224</v>
      </c>
      <c r="G23" s="15">
        <f>sales[[#This Row],[Units]]*sales[[#This Row],[Sales]]</f>
        <v>2240</v>
      </c>
      <c r="H23" s="15">
        <v>137</v>
      </c>
    </row>
    <row r="24" spans="1:8" x14ac:dyDescent="0.3">
      <c r="A24" s="13">
        <v>23</v>
      </c>
      <c r="B24" s="14" t="s">
        <v>37</v>
      </c>
      <c r="C24" s="14" t="s">
        <v>27</v>
      </c>
      <c r="D24" s="14" t="s">
        <v>39</v>
      </c>
      <c r="E24" s="14">
        <v>11</v>
      </c>
      <c r="F24" s="14">
        <v>334</v>
      </c>
      <c r="G24" s="15">
        <f>sales[[#This Row],[Units]]*sales[[#This Row],[Sales]]</f>
        <v>3674</v>
      </c>
      <c r="H24" s="15">
        <v>204</v>
      </c>
    </row>
    <row r="25" spans="1:8" x14ac:dyDescent="0.3">
      <c r="A25" s="13">
        <v>24</v>
      </c>
      <c r="B25" s="14" t="s">
        <v>37</v>
      </c>
      <c r="C25" s="14" t="s">
        <v>27</v>
      </c>
      <c r="D25" s="14" t="s">
        <v>40</v>
      </c>
      <c r="E25" s="14">
        <v>7</v>
      </c>
      <c r="F25" s="14">
        <v>135</v>
      </c>
      <c r="G25" s="15">
        <f>sales[[#This Row],[Units]]*sales[[#This Row],[Sales]]</f>
        <v>945</v>
      </c>
      <c r="H25" s="15">
        <v>83</v>
      </c>
    </row>
    <row r="26" spans="1:8" x14ac:dyDescent="0.3">
      <c r="A26" s="13">
        <v>25</v>
      </c>
      <c r="B26" s="14" t="s">
        <v>41</v>
      </c>
      <c r="C26" s="14" t="s">
        <v>21</v>
      </c>
      <c r="D26" s="14" t="s">
        <v>42</v>
      </c>
      <c r="E26" s="14">
        <v>15</v>
      </c>
      <c r="F26" s="14">
        <v>689</v>
      </c>
      <c r="G26" s="15">
        <f>sales[[#This Row],[Units]]*sales[[#This Row],[Sales]]</f>
        <v>10335</v>
      </c>
      <c r="H26" s="15">
        <v>421</v>
      </c>
    </row>
    <row r="27" spans="1:8" x14ac:dyDescent="0.3">
      <c r="A27" s="13">
        <v>26</v>
      </c>
      <c r="B27" s="14" t="s">
        <v>41</v>
      </c>
      <c r="C27" s="14" t="s">
        <v>21</v>
      </c>
      <c r="D27" s="14" t="s">
        <v>43</v>
      </c>
      <c r="E27" s="14">
        <v>25</v>
      </c>
      <c r="F27" s="14">
        <v>432</v>
      </c>
      <c r="G27" s="15">
        <f>sales[[#This Row],[Units]]*sales[[#This Row],[Sales]]</f>
        <v>10800</v>
      </c>
      <c r="H27" s="15">
        <v>263</v>
      </c>
    </row>
    <row r="28" spans="1:8" x14ac:dyDescent="0.3">
      <c r="A28" s="13">
        <v>27</v>
      </c>
      <c r="B28" s="14" t="s">
        <v>41</v>
      </c>
      <c r="C28" s="14" t="s">
        <v>21</v>
      </c>
      <c r="D28" s="14" t="s">
        <v>44</v>
      </c>
      <c r="E28" s="14">
        <v>11</v>
      </c>
      <c r="F28" s="14">
        <v>287</v>
      </c>
      <c r="G28" s="15">
        <f>sales[[#This Row],[Units]]*sales[[#This Row],[Sales]]</f>
        <v>3157</v>
      </c>
      <c r="H28" s="15">
        <v>175</v>
      </c>
    </row>
    <row r="29" spans="1:8" x14ac:dyDescent="0.3">
      <c r="A29" s="13">
        <v>28</v>
      </c>
      <c r="B29" s="14" t="s">
        <v>45</v>
      </c>
      <c r="C29" s="14" t="s">
        <v>27</v>
      </c>
      <c r="D29" s="14" t="s">
        <v>46</v>
      </c>
      <c r="E29" s="14">
        <v>8</v>
      </c>
      <c r="F29" s="14">
        <v>176</v>
      </c>
      <c r="G29" s="15">
        <f>sales[[#This Row],[Units]]*sales[[#This Row],[Sales]]</f>
        <v>1408</v>
      </c>
      <c r="H29" s="15">
        <v>107</v>
      </c>
    </row>
    <row r="30" spans="1:8" x14ac:dyDescent="0.3">
      <c r="A30" s="13">
        <v>29</v>
      </c>
      <c r="B30" s="14" t="s">
        <v>45</v>
      </c>
      <c r="C30" s="14" t="s">
        <v>21</v>
      </c>
      <c r="D30" s="14" t="s">
        <v>47</v>
      </c>
      <c r="E30" s="14">
        <v>13</v>
      </c>
      <c r="F30" s="14">
        <v>555</v>
      </c>
      <c r="G30" s="15">
        <f>sales[[#This Row],[Units]]*sales[[#This Row],[Sales]]</f>
        <v>7215</v>
      </c>
      <c r="H30" s="15">
        <v>339</v>
      </c>
    </row>
    <row r="31" spans="1:8" x14ac:dyDescent="0.3">
      <c r="A31" s="13">
        <v>30</v>
      </c>
      <c r="B31" s="14" t="s">
        <v>45</v>
      </c>
      <c r="C31" s="14" t="s">
        <v>21</v>
      </c>
      <c r="D31" s="14" t="s">
        <v>48</v>
      </c>
      <c r="E31" s="14">
        <v>15</v>
      </c>
      <c r="F31" s="14">
        <v>432</v>
      </c>
      <c r="G31" s="15">
        <f>sales[[#This Row],[Units]]*sales[[#This Row],[Sales]]</f>
        <v>6480</v>
      </c>
      <c r="H31" s="15">
        <v>263</v>
      </c>
    </row>
    <row r="32" spans="1:8" x14ac:dyDescent="0.3">
      <c r="A32" s="13">
        <v>31</v>
      </c>
      <c r="B32" s="14" t="s">
        <v>49</v>
      </c>
      <c r="C32" s="14" t="s">
        <v>8</v>
      </c>
      <c r="D32" s="14" t="s">
        <v>50</v>
      </c>
      <c r="E32" s="14">
        <v>20</v>
      </c>
      <c r="F32" s="14">
        <v>798</v>
      </c>
      <c r="G32" s="15">
        <f>sales[[#This Row],[Units]]*sales[[#This Row],[Sales]]</f>
        <v>15960</v>
      </c>
      <c r="H32" s="15">
        <v>487</v>
      </c>
    </row>
    <row r="33" spans="1:8" x14ac:dyDescent="0.3">
      <c r="A33" s="13">
        <v>32</v>
      </c>
      <c r="B33" s="14" t="s">
        <v>49</v>
      </c>
      <c r="C33" s="14" t="s">
        <v>8</v>
      </c>
      <c r="D33" s="14" t="s">
        <v>51</v>
      </c>
      <c r="E33" s="14">
        <v>15</v>
      </c>
      <c r="F33" s="14">
        <v>265</v>
      </c>
      <c r="G33" s="15">
        <f>sales[[#This Row],[Units]]*sales[[#This Row],[Sales]]</f>
        <v>3975</v>
      </c>
      <c r="H33" s="15">
        <v>162</v>
      </c>
    </row>
    <row r="34" spans="1:8" x14ac:dyDescent="0.3">
      <c r="A34" s="13">
        <v>33</v>
      </c>
      <c r="B34" s="14" t="s">
        <v>49</v>
      </c>
      <c r="C34" s="14" t="s">
        <v>8</v>
      </c>
      <c r="D34" s="14" t="s">
        <v>52</v>
      </c>
      <c r="E34" s="14">
        <v>28</v>
      </c>
      <c r="F34" s="14">
        <v>976</v>
      </c>
      <c r="G34" s="15">
        <f>sales[[#This Row],[Units]]*sales[[#This Row],[Sales]]</f>
        <v>27328</v>
      </c>
      <c r="H34" s="15">
        <v>594</v>
      </c>
    </row>
    <row r="35" spans="1:8" x14ac:dyDescent="0.3">
      <c r="A35" s="13">
        <v>34</v>
      </c>
      <c r="B35" s="14" t="s">
        <v>49</v>
      </c>
      <c r="C35" s="14" t="s">
        <v>8</v>
      </c>
      <c r="D35" s="14" t="s">
        <v>53</v>
      </c>
      <c r="E35" s="14">
        <v>10</v>
      </c>
      <c r="F35" s="14">
        <v>211</v>
      </c>
      <c r="G35" s="15">
        <f>sales[[#This Row],[Units]]*sales[[#This Row],[Sales]]</f>
        <v>2110</v>
      </c>
      <c r="H35" s="15">
        <v>129</v>
      </c>
    </row>
    <row r="36" spans="1:8" x14ac:dyDescent="0.3">
      <c r="A36" s="13">
        <v>35</v>
      </c>
      <c r="B36" s="14" t="s">
        <v>54</v>
      </c>
      <c r="C36" s="14" t="s">
        <v>27</v>
      </c>
      <c r="D36" s="14" t="s">
        <v>55</v>
      </c>
      <c r="E36" s="14">
        <v>12</v>
      </c>
      <c r="F36" s="14">
        <v>256</v>
      </c>
      <c r="G36" s="15">
        <f>sales[[#This Row],[Units]]*sales[[#This Row],[Sales]]</f>
        <v>3072</v>
      </c>
      <c r="H36" s="15">
        <v>156</v>
      </c>
    </row>
    <row r="37" spans="1:8" x14ac:dyDescent="0.3">
      <c r="A37" s="13">
        <v>36</v>
      </c>
      <c r="B37" s="14" t="s">
        <v>54</v>
      </c>
      <c r="C37" s="14" t="s">
        <v>21</v>
      </c>
      <c r="D37" s="14" t="s">
        <v>56</v>
      </c>
      <c r="E37" s="14">
        <v>22</v>
      </c>
      <c r="F37" s="14">
        <v>879</v>
      </c>
      <c r="G37" s="15">
        <f>sales[[#This Row],[Units]]*sales[[#This Row],[Sales]]</f>
        <v>19338</v>
      </c>
      <c r="H37" s="15">
        <v>535</v>
      </c>
    </row>
    <row r="38" spans="1:8" x14ac:dyDescent="0.3">
      <c r="A38" s="13">
        <v>37</v>
      </c>
      <c r="B38" s="14" t="s">
        <v>54</v>
      </c>
      <c r="C38" s="14" t="s">
        <v>27</v>
      </c>
      <c r="D38" s="14" t="s">
        <v>57</v>
      </c>
      <c r="E38" s="14">
        <v>19</v>
      </c>
      <c r="F38" s="14">
        <v>765</v>
      </c>
      <c r="G38" s="15">
        <f>sales[[#This Row],[Units]]*sales[[#This Row],[Sales]]</f>
        <v>14535</v>
      </c>
      <c r="H38" s="15">
        <v>468</v>
      </c>
    </row>
    <row r="39" spans="1:8" x14ac:dyDescent="0.3">
      <c r="A39" s="13">
        <v>38</v>
      </c>
      <c r="B39" s="14" t="s">
        <v>54</v>
      </c>
      <c r="C39" s="14" t="s">
        <v>21</v>
      </c>
      <c r="D39" s="14" t="s">
        <v>58</v>
      </c>
      <c r="E39" s="14">
        <v>17</v>
      </c>
      <c r="F39" s="14">
        <v>599</v>
      </c>
      <c r="G39" s="15">
        <f>sales[[#This Row],[Units]]*sales[[#This Row],[Sales]]</f>
        <v>10183</v>
      </c>
      <c r="H39" s="15">
        <v>365</v>
      </c>
    </row>
    <row r="40" spans="1:8" x14ac:dyDescent="0.3">
      <c r="A40" s="13">
        <v>39</v>
      </c>
      <c r="B40" s="14" t="s">
        <v>59</v>
      </c>
      <c r="C40" s="14" t="s">
        <v>15</v>
      </c>
      <c r="D40" s="14" t="s">
        <v>60</v>
      </c>
      <c r="E40" s="14">
        <v>18</v>
      </c>
      <c r="F40" s="14">
        <v>456</v>
      </c>
      <c r="G40" s="15">
        <f>sales[[#This Row],[Units]]*sales[[#This Row],[Sales]]</f>
        <v>8208</v>
      </c>
      <c r="H40" s="15">
        <v>279</v>
      </c>
    </row>
    <row r="41" spans="1:8" x14ac:dyDescent="0.3">
      <c r="A41" s="13">
        <v>40</v>
      </c>
      <c r="B41" s="14" t="s">
        <v>59</v>
      </c>
      <c r="C41" s="14" t="s">
        <v>27</v>
      </c>
      <c r="D41" s="14" t="s">
        <v>61</v>
      </c>
      <c r="E41" s="14">
        <v>9</v>
      </c>
      <c r="F41" s="14">
        <v>123</v>
      </c>
      <c r="G41" s="15">
        <f>sales[[#This Row],[Units]]*sales[[#This Row],[Sales]]</f>
        <v>1107</v>
      </c>
      <c r="H41" s="15">
        <v>75</v>
      </c>
    </row>
    <row r="42" spans="1:8" x14ac:dyDescent="0.3">
      <c r="A42" s="13">
        <v>41</v>
      </c>
      <c r="B42" s="14" t="s">
        <v>59</v>
      </c>
      <c r="C42" s="14" t="s">
        <v>15</v>
      </c>
      <c r="D42" s="14" t="s">
        <v>62</v>
      </c>
      <c r="E42" s="14">
        <v>12</v>
      </c>
      <c r="F42" s="14">
        <v>213</v>
      </c>
      <c r="G42" s="15">
        <f>sales[[#This Row],[Units]]*sales[[#This Row],[Sales]]</f>
        <v>2556</v>
      </c>
      <c r="H42" s="15">
        <v>130</v>
      </c>
    </row>
    <row r="43" spans="1:8" x14ac:dyDescent="0.3">
      <c r="A43" s="13">
        <v>42</v>
      </c>
      <c r="B43" s="14" t="s">
        <v>59</v>
      </c>
      <c r="C43" s="14" t="s">
        <v>27</v>
      </c>
      <c r="D43" s="14" t="s">
        <v>63</v>
      </c>
      <c r="E43" s="14">
        <v>12</v>
      </c>
      <c r="F43" s="14">
        <v>322</v>
      </c>
      <c r="G43" s="15">
        <f>sales[[#This Row],[Units]]*sales[[#This Row],[Sales]]</f>
        <v>3864</v>
      </c>
      <c r="H43" s="15">
        <v>197</v>
      </c>
    </row>
    <row r="44" spans="1:8" x14ac:dyDescent="0.3">
      <c r="A44" s="13">
        <v>43</v>
      </c>
      <c r="B44" s="14" t="s">
        <v>59</v>
      </c>
      <c r="C44" s="14" t="s">
        <v>15</v>
      </c>
      <c r="D44" s="14" t="s">
        <v>60</v>
      </c>
      <c r="E44" s="14">
        <v>18</v>
      </c>
      <c r="F44" s="14">
        <v>499</v>
      </c>
      <c r="G44" s="15">
        <f>sales[[#This Row],[Units]]*sales[[#This Row],[Sales]]</f>
        <v>8982</v>
      </c>
      <c r="H44" s="15">
        <v>305</v>
      </c>
    </row>
    <row r="45" spans="1:8" x14ac:dyDescent="0.3">
      <c r="A45" s="13">
        <v>44</v>
      </c>
      <c r="B45" s="14" t="s">
        <v>59</v>
      </c>
      <c r="C45" s="14" t="s">
        <v>27</v>
      </c>
      <c r="D45" s="14" t="s">
        <v>61</v>
      </c>
      <c r="E45" s="14">
        <v>9</v>
      </c>
      <c r="F45" s="14">
        <v>192</v>
      </c>
      <c r="G45" s="15">
        <f>sales[[#This Row],[Units]]*sales[[#This Row],[Sales]]</f>
        <v>1728</v>
      </c>
      <c r="H45" s="15">
        <v>117</v>
      </c>
    </row>
    <row r="46" spans="1:8" x14ac:dyDescent="0.3">
      <c r="A46" s="13">
        <v>45</v>
      </c>
      <c r="B46" s="14" t="s">
        <v>59</v>
      </c>
      <c r="C46" s="14" t="s">
        <v>15</v>
      </c>
      <c r="D46" s="14" t="s">
        <v>62</v>
      </c>
      <c r="E46" s="14">
        <v>12</v>
      </c>
      <c r="F46" s="14">
        <v>678</v>
      </c>
      <c r="G46" s="15">
        <f>sales[[#This Row],[Units]]*sales[[#This Row],[Sales]]</f>
        <v>8136</v>
      </c>
      <c r="H46" s="15">
        <v>413</v>
      </c>
    </row>
    <row r="47" spans="1:8" x14ac:dyDescent="0.3">
      <c r="A47" s="13">
        <v>46</v>
      </c>
      <c r="B47" s="14" t="s">
        <v>59</v>
      </c>
      <c r="C47" s="14" t="s">
        <v>27</v>
      </c>
      <c r="D47" s="14" t="s">
        <v>63</v>
      </c>
      <c r="E47" s="14">
        <v>12</v>
      </c>
      <c r="F47" s="14">
        <v>321</v>
      </c>
      <c r="G47" s="15">
        <f>sales[[#This Row],[Units]]*sales[[#This Row],[Sales]]</f>
        <v>3852</v>
      </c>
      <c r="H47" s="15">
        <v>196</v>
      </c>
    </row>
    <row r="48" spans="1:8" x14ac:dyDescent="0.3">
      <c r="A48" s="13">
        <v>47</v>
      </c>
      <c r="B48" s="14" t="s">
        <v>14</v>
      </c>
      <c r="C48" s="14" t="s">
        <v>21</v>
      </c>
      <c r="D48" s="14" t="s">
        <v>64</v>
      </c>
      <c r="E48" s="14">
        <v>15</v>
      </c>
      <c r="F48" s="14">
        <v>765</v>
      </c>
      <c r="G48" s="15">
        <f>sales[[#This Row],[Units]]*sales[[#This Row],[Sales]]</f>
        <v>11475</v>
      </c>
      <c r="H48" s="15">
        <v>466</v>
      </c>
    </row>
    <row r="49" spans="1:8" x14ac:dyDescent="0.3">
      <c r="A49" s="13">
        <v>48</v>
      </c>
      <c r="B49" s="14" t="s">
        <v>14</v>
      </c>
      <c r="C49" s="14" t="s">
        <v>8</v>
      </c>
      <c r="D49" s="14" t="s">
        <v>65</v>
      </c>
      <c r="E49" s="14">
        <v>14</v>
      </c>
      <c r="F49" s="14">
        <v>541</v>
      </c>
      <c r="G49" s="15">
        <f>sales[[#This Row],[Units]]*sales[[#This Row],[Sales]]</f>
        <v>7574</v>
      </c>
      <c r="H49" s="15">
        <v>331</v>
      </c>
    </row>
    <row r="50" spans="1:8" x14ac:dyDescent="0.3">
      <c r="A50" s="13">
        <v>49</v>
      </c>
      <c r="B50" s="14" t="s">
        <v>14</v>
      </c>
      <c r="C50" s="14" t="s">
        <v>27</v>
      </c>
      <c r="D50" s="14" t="s">
        <v>66</v>
      </c>
      <c r="E50" s="14">
        <v>9</v>
      </c>
      <c r="F50" s="14">
        <v>187</v>
      </c>
      <c r="G50" s="15">
        <f>sales[[#This Row],[Units]]*sales[[#This Row],[Sales]]</f>
        <v>1683</v>
      </c>
      <c r="H50" s="15">
        <v>114</v>
      </c>
    </row>
    <row r="51" spans="1:8" x14ac:dyDescent="0.3">
      <c r="A51" s="13">
        <v>50</v>
      </c>
      <c r="B51" s="14" t="s">
        <v>14</v>
      </c>
      <c r="C51" s="14" t="s">
        <v>21</v>
      </c>
      <c r="D51" s="14" t="s">
        <v>67</v>
      </c>
      <c r="E51" s="14">
        <v>15</v>
      </c>
      <c r="F51" s="14">
        <v>786</v>
      </c>
      <c r="G51" s="15">
        <f>sales[[#This Row],[Units]]*sales[[#This Row],[Sales]]</f>
        <v>11790</v>
      </c>
      <c r="H51" s="15">
        <v>479</v>
      </c>
    </row>
    <row r="52" spans="1:8" x14ac:dyDescent="0.3">
      <c r="A52" s="13">
        <v>51</v>
      </c>
      <c r="B52" s="14" t="s">
        <v>20</v>
      </c>
      <c r="C52" s="14" t="s">
        <v>8</v>
      </c>
      <c r="D52" s="14" t="s">
        <v>65</v>
      </c>
      <c r="E52" s="14">
        <v>14</v>
      </c>
      <c r="F52" s="14">
        <v>655</v>
      </c>
      <c r="G52" s="15">
        <f>sales[[#This Row],[Units]]*sales[[#This Row],[Sales]]</f>
        <v>9170</v>
      </c>
      <c r="H52" s="15">
        <v>399</v>
      </c>
    </row>
    <row r="53" spans="1:8" x14ac:dyDescent="0.3">
      <c r="A53" s="13">
        <v>52</v>
      </c>
      <c r="B53" s="14" t="s">
        <v>20</v>
      </c>
      <c r="C53" s="14" t="s">
        <v>27</v>
      </c>
      <c r="D53" s="14" t="s">
        <v>11</v>
      </c>
      <c r="E53" s="14">
        <v>20</v>
      </c>
      <c r="F53" s="14">
        <v>989</v>
      </c>
      <c r="G53" s="15">
        <f>sales[[#This Row],[Units]]*sales[[#This Row],[Sales]]</f>
        <v>19780</v>
      </c>
      <c r="H53" s="15">
        <v>603</v>
      </c>
    </row>
    <row r="54" spans="1:8" x14ac:dyDescent="0.3">
      <c r="A54" s="13">
        <v>53</v>
      </c>
      <c r="B54" s="14" t="s">
        <v>20</v>
      </c>
      <c r="C54" s="14" t="s">
        <v>21</v>
      </c>
      <c r="D54" s="14" t="s">
        <v>68</v>
      </c>
      <c r="E54" s="14">
        <v>16</v>
      </c>
      <c r="F54" s="14">
        <v>722</v>
      </c>
      <c r="G54" s="15">
        <f>sales[[#This Row],[Units]]*sales[[#This Row],[Sales]]</f>
        <v>11552</v>
      </c>
      <c r="H54" s="15">
        <v>441</v>
      </c>
    </row>
    <row r="55" spans="1:8" x14ac:dyDescent="0.3">
      <c r="A55" s="13">
        <v>54</v>
      </c>
      <c r="B55" s="14" t="s">
        <v>20</v>
      </c>
      <c r="C55" s="14" t="s">
        <v>15</v>
      </c>
      <c r="D55" s="14" t="s">
        <v>69</v>
      </c>
      <c r="E55" s="14">
        <v>17</v>
      </c>
      <c r="F55" s="14">
        <v>864</v>
      </c>
      <c r="G55" s="15">
        <f>sales[[#This Row],[Units]]*sales[[#This Row],[Sales]]</f>
        <v>14688</v>
      </c>
      <c r="H55" s="15">
        <v>527</v>
      </c>
    </row>
    <row r="56" spans="1:8" x14ac:dyDescent="0.3">
      <c r="A56" s="13">
        <v>55</v>
      </c>
      <c r="B56" s="14" t="s">
        <v>26</v>
      </c>
      <c r="C56" s="14" t="s">
        <v>21</v>
      </c>
      <c r="D56" s="14" t="s">
        <v>70</v>
      </c>
      <c r="E56" s="14">
        <v>20</v>
      </c>
      <c r="F56" s="14">
        <v>999</v>
      </c>
      <c r="G56" s="15">
        <f>sales[[#This Row],[Units]]*sales[[#This Row],[Sales]]</f>
        <v>19980</v>
      </c>
      <c r="H56" s="15">
        <v>610</v>
      </c>
    </row>
    <row r="57" spans="1:8" x14ac:dyDescent="0.3">
      <c r="A57" s="13">
        <v>56</v>
      </c>
      <c r="B57" s="14" t="s">
        <v>26</v>
      </c>
      <c r="C57" s="14" t="s">
        <v>27</v>
      </c>
      <c r="D57" s="14" t="s">
        <v>44</v>
      </c>
      <c r="E57" s="14">
        <v>15</v>
      </c>
      <c r="F57" s="14">
        <v>762</v>
      </c>
      <c r="G57" s="15">
        <f>sales[[#This Row],[Units]]*sales[[#This Row],[Sales]]</f>
        <v>11430</v>
      </c>
      <c r="H57" s="15">
        <v>465</v>
      </c>
    </row>
    <row r="58" spans="1:8" x14ac:dyDescent="0.3">
      <c r="A58" s="13">
        <v>57</v>
      </c>
      <c r="B58" s="14" t="s">
        <v>26</v>
      </c>
      <c r="C58" s="14" t="s">
        <v>8</v>
      </c>
      <c r="D58" s="14" t="s">
        <v>71</v>
      </c>
      <c r="E58" s="14">
        <v>9</v>
      </c>
      <c r="F58" s="14">
        <v>127</v>
      </c>
      <c r="G58" s="15">
        <f>sales[[#This Row],[Units]]*sales[[#This Row],[Sales]]</f>
        <v>1143</v>
      </c>
      <c r="H58" s="15">
        <v>78</v>
      </c>
    </row>
    <row r="59" spans="1:8" x14ac:dyDescent="0.3">
      <c r="A59" s="13">
        <v>58</v>
      </c>
      <c r="B59" s="14" t="s">
        <v>26</v>
      </c>
      <c r="C59" s="14" t="s">
        <v>21</v>
      </c>
      <c r="D59" s="14" t="s">
        <v>51</v>
      </c>
      <c r="E59" s="14">
        <v>8</v>
      </c>
      <c r="F59" s="14">
        <v>164</v>
      </c>
      <c r="G59" s="15">
        <f>sales[[#This Row],[Units]]*sales[[#This Row],[Sales]]</f>
        <v>1312</v>
      </c>
      <c r="H59" s="15">
        <v>100</v>
      </c>
    </row>
    <row r="60" spans="1:8" x14ac:dyDescent="0.3">
      <c r="A60" s="13">
        <v>59</v>
      </c>
      <c r="B60" s="14" t="s">
        <v>32</v>
      </c>
      <c r="C60" s="14" t="s">
        <v>27</v>
      </c>
      <c r="D60" s="14" t="s">
        <v>72</v>
      </c>
      <c r="E60" s="14">
        <v>14</v>
      </c>
      <c r="F60" s="14">
        <v>646</v>
      </c>
      <c r="G60" s="15">
        <f>sales[[#This Row],[Units]]*sales[[#This Row],[Sales]]</f>
        <v>9044</v>
      </c>
      <c r="H60" s="15">
        <v>394</v>
      </c>
    </row>
    <row r="61" spans="1:8" x14ac:dyDescent="0.3">
      <c r="A61" s="13">
        <v>60</v>
      </c>
      <c r="B61" s="14" t="s">
        <v>32</v>
      </c>
      <c r="C61" s="14" t="s">
        <v>15</v>
      </c>
      <c r="D61" s="14" t="s">
        <v>73</v>
      </c>
      <c r="E61" s="14">
        <v>11</v>
      </c>
      <c r="F61" s="14">
        <v>294</v>
      </c>
      <c r="G61" s="15">
        <f>sales[[#This Row],[Units]]*sales[[#This Row],[Sales]]</f>
        <v>3234</v>
      </c>
      <c r="H61" s="15">
        <v>179</v>
      </c>
    </row>
    <row r="62" spans="1:8" x14ac:dyDescent="0.3">
      <c r="A62" s="13">
        <v>61</v>
      </c>
      <c r="B62" s="14" t="s">
        <v>32</v>
      </c>
      <c r="C62" s="14" t="s">
        <v>21</v>
      </c>
      <c r="D62" s="14" t="s">
        <v>56</v>
      </c>
      <c r="E62" s="14">
        <v>10</v>
      </c>
      <c r="F62" s="14">
        <v>223</v>
      </c>
      <c r="G62" s="15">
        <f>sales[[#This Row],[Units]]*sales[[#This Row],[Sales]]</f>
        <v>2230</v>
      </c>
      <c r="H62" s="15">
        <v>136</v>
      </c>
    </row>
    <row r="63" spans="1:8" x14ac:dyDescent="0.3">
      <c r="A63" s="13">
        <v>62</v>
      </c>
      <c r="B63" s="14" t="s">
        <v>32</v>
      </c>
      <c r="C63" s="14" t="s">
        <v>27</v>
      </c>
      <c r="D63" s="14" t="s">
        <v>55</v>
      </c>
      <c r="E63" s="14">
        <v>15</v>
      </c>
      <c r="F63" s="14">
        <v>785</v>
      </c>
      <c r="G63" s="15">
        <f>sales[[#This Row],[Units]]*sales[[#This Row],[Sales]]</f>
        <v>11775</v>
      </c>
      <c r="H63" s="15">
        <v>480</v>
      </c>
    </row>
    <row r="64" spans="1:8" x14ac:dyDescent="0.3">
      <c r="A64" s="13">
        <v>63</v>
      </c>
      <c r="B64" s="14" t="s">
        <v>37</v>
      </c>
      <c r="C64" s="14" t="s">
        <v>15</v>
      </c>
      <c r="D64" s="14" t="s">
        <v>74</v>
      </c>
      <c r="E64" s="14">
        <v>16</v>
      </c>
      <c r="F64" s="14">
        <v>777</v>
      </c>
      <c r="G64" s="15">
        <f>sales[[#This Row],[Units]]*sales[[#This Row],[Sales]]</f>
        <v>12432</v>
      </c>
      <c r="H64" s="15">
        <v>475</v>
      </c>
    </row>
    <row r="65" spans="1:8" x14ac:dyDescent="0.3">
      <c r="A65" s="13">
        <v>64</v>
      </c>
      <c r="B65" s="14" t="s">
        <v>37</v>
      </c>
      <c r="C65" s="14" t="s">
        <v>27</v>
      </c>
      <c r="D65" s="14" t="s">
        <v>75</v>
      </c>
      <c r="E65" s="14">
        <v>9</v>
      </c>
      <c r="F65" s="14">
        <v>144</v>
      </c>
      <c r="G65" s="15">
        <f>sales[[#This Row],[Units]]*sales[[#This Row],[Sales]]</f>
        <v>1296</v>
      </c>
      <c r="H65" s="15">
        <v>88</v>
      </c>
    </row>
    <row r="66" spans="1:8" x14ac:dyDescent="0.3">
      <c r="A66" s="13">
        <v>65</v>
      </c>
      <c r="B66" s="14" t="s">
        <v>37</v>
      </c>
      <c r="C66" s="14" t="s">
        <v>8</v>
      </c>
      <c r="D66" s="14" t="s">
        <v>68</v>
      </c>
      <c r="E66" s="14">
        <v>18</v>
      </c>
      <c r="F66" s="14">
        <v>699</v>
      </c>
      <c r="G66" s="15">
        <f>sales[[#This Row],[Units]]*sales[[#This Row],[Sales]]</f>
        <v>12582</v>
      </c>
      <c r="H66" s="15">
        <v>426</v>
      </c>
    </row>
    <row r="67" spans="1:8" x14ac:dyDescent="0.3">
      <c r="A67" s="13">
        <v>66</v>
      </c>
      <c r="B67" s="14" t="s">
        <v>37</v>
      </c>
      <c r="C67" s="14" t="s">
        <v>27</v>
      </c>
      <c r="D67" s="14" t="s">
        <v>76</v>
      </c>
      <c r="E67" s="14">
        <v>14</v>
      </c>
      <c r="F67" s="14">
        <v>665</v>
      </c>
      <c r="G67" s="15">
        <f>sales[[#This Row],[Units]]*sales[[#This Row],[Sales]]</f>
        <v>9310</v>
      </c>
      <c r="H67" s="15">
        <v>406</v>
      </c>
    </row>
    <row r="68" spans="1:8" x14ac:dyDescent="0.3">
      <c r="A68" s="13">
        <v>67</v>
      </c>
      <c r="B68" s="14" t="s">
        <v>41</v>
      </c>
      <c r="C68" s="14" t="s">
        <v>21</v>
      </c>
      <c r="D68" s="14" t="s">
        <v>77</v>
      </c>
      <c r="E68" s="14">
        <v>10</v>
      </c>
      <c r="F68" s="14">
        <v>233</v>
      </c>
      <c r="G68" s="15">
        <f>sales[[#This Row],[Units]]*sales[[#This Row],[Sales]]</f>
        <v>2330</v>
      </c>
      <c r="H68" s="15">
        <v>142</v>
      </c>
    </row>
    <row r="69" spans="1:8" x14ac:dyDescent="0.3">
      <c r="A69" s="13">
        <v>68</v>
      </c>
      <c r="B69" s="14" t="s">
        <v>41</v>
      </c>
      <c r="C69" s="14" t="s">
        <v>15</v>
      </c>
      <c r="D69" s="14" t="s">
        <v>78</v>
      </c>
      <c r="E69" s="14">
        <v>11</v>
      </c>
      <c r="F69" s="14">
        <v>356</v>
      </c>
      <c r="G69" s="15">
        <f>sales[[#This Row],[Units]]*sales[[#This Row],[Sales]]</f>
        <v>3916</v>
      </c>
      <c r="H69" s="15">
        <v>217</v>
      </c>
    </row>
    <row r="70" spans="1:8" x14ac:dyDescent="0.3">
      <c r="A70" s="13">
        <v>69</v>
      </c>
      <c r="B70" s="14" t="s">
        <v>41</v>
      </c>
      <c r="C70" s="14" t="s">
        <v>8</v>
      </c>
      <c r="D70" s="14" t="s">
        <v>79</v>
      </c>
      <c r="E70" s="14">
        <v>16</v>
      </c>
      <c r="F70" s="14">
        <v>715</v>
      </c>
      <c r="G70" s="15">
        <f>sales[[#This Row],[Units]]*sales[[#This Row],[Sales]]</f>
        <v>11440</v>
      </c>
      <c r="H70" s="15">
        <v>436</v>
      </c>
    </row>
    <row r="71" spans="1:8" x14ac:dyDescent="0.3">
      <c r="A71" s="13">
        <v>70</v>
      </c>
      <c r="B71" s="14" t="s">
        <v>41</v>
      </c>
      <c r="C71" s="14" t="s">
        <v>27</v>
      </c>
      <c r="D71" s="14" t="s">
        <v>80</v>
      </c>
      <c r="E71" s="14">
        <v>18</v>
      </c>
      <c r="F71" s="14">
        <v>777</v>
      </c>
      <c r="G71" s="15">
        <f>sales[[#This Row],[Units]]*sales[[#This Row],[Sales]]</f>
        <v>13986</v>
      </c>
      <c r="H71" s="15">
        <v>475</v>
      </c>
    </row>
    <row r="72" spans="1:8" x14ac:dyDescent="0.3">
      <c r="A72" s="13">
        <v>71</v>
      </c>
      <c r="B72" s="14" t="s">
        <v>49</v>
      </c>
      <c r="C72" s="14" t="s">
        <v>8</v>
      </c>
      <c r="D72" s="14" t="s">
        <v>81</v>
      </c>
      <c r="E72" s="14">
        <v>20</v>
      </c>
      <c r="F72" s="14">
        <v>988</v>
      </c>
      <c r="G72" s="15">
        <f>sales[[#This Row],[Units]]*sales[[#This Row],[Sales]]</f>
        <v>19760</v>
      </c>
      <c r="H72" s="15">
        <v>602</v>
      </c>
    </row>
    <row r="73" spans="1:8" x14ac:dyDescent="0.3">
      <c r="A73" s="13">
        <v>72</v>
      </c>
      <c r="B73" s="14" t="s">
        <v>49</v>
      </c>
      <c r="C73" s="14" t="s">
        <v>21</v>
      </c>
      <c r="D73" s="14" t="s">
        <v>82</v>
      </c>
      <c r="E73" s="14">
        <v>16</v>
      </c>
      <c r="F73" s="14">
        <v>712</v>
      </c>
      <c r="G73" s="15">
        <f>sales[[#This Row],[Units]]*sales[[#This Row],[Sales]]</f>
        <v>11392</v>
      </c>
      <c r="H73" s="15">
        <v>434</v>
      </c>
    </row>
    <row r="74" spans="1:8" x14ac:dyDescent="0.3">
      <c r="A74" s="13">
        <v>73</v>
      </c>
      <c r="B74" s="14" t="s">
        <v>49</v>
      </c>
      <c r="C74" s="14" t="s">
        <v>27</v>
      </c>
      <c r="D74" s="14" t="s">
        <v>83</v>
      </c>
      <c r="E74" s="14">
        <v>15</v>
      </c>
      <c r="F74" s="14">
        <v>798</v>
      </c>
      <c r="G74" s="15">
        <f>sales[[#This Row],[Units]]*sales[[#This Row],[Sales]]</f>
        <v>11970</v>
      </c>
      <c r="H74" s="15">
        <v>487</v>
      </c>
    </row>
    <row r="75" spans="1:8" x14ac:dyDescent="0.3">
      <c r="A75" s="13">
        <v>74</v>
      </c>
      <c r="B75" s="14" t="s">
        <v>49</v>
      </c>
      <c r="C75" s="14" t="s">
        <v>15</v>
      </c>
      <c r="D75" s="14" t="s">
        <v>40</v>
      </c>
      <c r="E75" s="14">
        <v>10</v>
      </c>
      <c r="F75" s="14">
        <v>199</v>
      </c>
      <c r="G75" s="15">
        <f>sales[[#This Row],[Units]]*sales[[#This Row],[Sales]]</f>
        <v>1990</v>
      </c>
      <c r="H75" s="15">
        <v>121</v>
      </c>
    </row>
    <row r="76" spans="1:8" x14ac:dyDescent="0.3">
      <c r="A76" s="13">
        <v>75</v>
      </c>
      <c r="B76" s="14" t="s">
        <v>45</v>
      </c>
      <c r="C76" s="14" t="s">
        <v>21</v>
      </c>
      <c r="D76" s="14" t="s">
        <v>84</v>
      </c>
      <c r="E76" s="14">
        <v>12</v>
      </c>
      <c r="F76" s="14">
        <v>478</v>
      </c>
      <c r="G76" s="15">
        <f>sales[[#This Row],[Units]]*sales[[#This Row],[Sales]]</f>
        <v>5736</v>
      </c>
      <c r="H76" s="15">
        <v>292</v>
      </c>
    </row>
    <row r="77" spans="1:8" x14ac:dyDescent="0.3">
      <c r="A77" s="13">
        <v>76</v>
      </c>
      <c r="B77" s="14" t="s">
        <v>45</v>
      </c>
      <c r="C77" s="14" t="s">
        <v>8</v>
      </c>
      <c r="D77" s="14" t="s">
        <v>85</v>
      </c>
      <c r="E77" s="14">
        <v>9</v>
      </c>
      <c r="F77" s="14">
        <v>186</v>
      </c>
      <c r="G77" s="15">
        <f>sales[[#This Row],[Units]]*sales[[#This Row],[Sales]]</f>
        <v>1674</v>
      </c>
      <c r="H77" s="15">
        <v>113</v>
      </c>
    </row>
    <row r="78" spans="1:8" x14ac:dyDescent="0.3">
      <c r="A78" s="13">
        <v>77</v>
      </c>
      <c r="B78" s="14" t="s">
        <v>45</v>
      </c>
      <c r="C78" s="14" t="s">
        <v>27</v>
      </c>
      <c r="D78" s="14" t="s">
        <v>86</v>
      </c>
      <c r="E78" s="14">
        <v>15</v>
      </c>
      <c r="F78" s="14">
        <v>761</v>
      </c>
      <c r="G78" s="15">
        <f>sales[[#This Row],[Units]]*sales[[#This Row],[Sales]]</f>
        <v>11415</v>
      </c>
      <c r="H78" s="15">
        <v>464</v>
      </c>
    </row>
    <row r="79" spans="1:8" x14ac:dyDescent="0.3">
      <c r="A79" s="13">
        <v>78</v>
      </c>
      <c r="B79" s="14" t="s">
        <v>45</v>
      </c>
      <c r="C79" s="14" t="s">
        <v>15</v>
      </c>
      <c r="D79" s="14" t="s">
        <v>65</v>
      </c>
      <c r="E79" s="14">
        <v>10</v>
      </c>
      <c r="F79" s="14">
        <v>288</v>
      </c>
      <c r="G79" s="15">
        <f>sales[[#This Row],[Units]]*sales[[#This Row],[Sales]]</f>
        <v>2880</v>
      </c>
      <c r="H79" s="15">
        <v>176</v>
      </c>
    </row>
    <row r="80" spans="1:8" x14ac:dyDescent="0.3">
      <c r="A80" s="13">
        <v>79</v>
      </c>
      <c r="B80" s="14" t="s">
        <v>54</v>
      </c>
      <c r="C80" s="14" t="s">
        <v>27</v>
      </c>
      <c r="D80" s="14" t="s">
        <v>87</v>
      </c>
      <c r="E80" s="14">
        <v>18</v>
      </c>
      <c r="F80" s="14">
        <v>699</v>
      </c>
      <c r="G80" s="15">
        <f>sales[[#This Row],[Units]]*sales[[#This Row],[Sales]]</f>
        <v>12582</v>
      </c>
      <c r="H80" s="15">
        <v>426</v>
      </c>
    </row>
    <row r="81" spans="1:8" x14ac:dyDescent="0.3">
      <c r="A81" s="13">
        <v>80</v>
      </c>
      <c r="B81" s="14" t="s">
        <v>54</v>
      </c>
      <c r="C81" s="14" t="s">
        <v>21</v>
      </c>
      <c r="D81" s="14" t="s">
        <v>88</v>
      </c>
      <c r="E81" s="14">
        <v>16</v>
      </c>
      <c r="F81" s="14">
        <v>777</v>
      </c>
      <c r="G81" s="15">
        <f>sales[[#This Row],[Units]]*sales[[#This Row],[Sales]]</f>
        <v>12432</v>
      </c>
      <c r="H81" s="15">
        <v>475</v>
      </c>
    </row>
    <row r="82" spans="1:8" x14ac:dyDescent="0.3">
      <c r="A82" s="13">
        <v>81</v>
      </c>
      <c r="B82" s="14" t="s">
        <v>54</v>
      </c>
      <c r="C82" s="14" t="s">
        <v>8</v>
      </c>
      <c r="D82" s="14" t="s">
        <v>29</v>
      </c>
      <c r="E82" s="14">
        <v>11</v>
      </c>
      <c r="F82" s="14">
        <v>355</v>
      </c>
      <c r="G82" s="15">
        <f>sales[[#This Row],[Units]]*sales[[#This Row],[Sales]]</f>
        <v>3905</v>
      </c>
      <c r="H82" s="15">
        <v>217</v>
      </c>
    </row>
    <row r="83" spans="1:8" x14ac:dyDescent="0.3">
      <c r="A83" s="13">
        <v>82</v>
      </c>
      <c r="B83" s="14" t="s">
        <v>54</v>
      </c>
      <c r="C83" s="14" t="s">
        <v>27</v>
      </c>
      <c r="D83" s="14" t="s">
        <v>89</v>
      </c>
      <c r="E83" s="14">
        <v>10</v>
      </c>
      <c r="F83" s="14">
        <v>233</v>
      </c>
      <c r="G83" s="15">
        <f>sales[[#This Row],[Units]]*sales[[#This Row],[Sales]]</f>
        <v>2330</v>
      </c>
      <c r="H83" s="15">
        <v>142</v>
      </c>
    </row>
    <row r="84" spans="1:8" x14ac:dyDescent="0.3">
      <c r="A84" s="13">
        <v>83</v>
      </c>
      <c r="B84" s="14" t="s">
        <v>54</v>
      </c>
      <c r="C84" s="14" t="s">
        <v>21</v>
      </c>
      <c r="D84" s="14" t="s">
        <v>90</v>
      </c>
      <c r="E84" s="14">
        <v>16</v>
      </c>
      <c r="F84" s="14">
        <v>723</v>
      </c>
      <c r="G84" s="15">
        <f>sales[[#This Row],[Units]]*sales[[#This Row],[Sales]]</f>
        <v>11568</v>
      </c>
      <c r="H84" s="15">
        <v>441</v>
      </c>
    </row>
    <row r="85" spans="1:8" x14ac:dyDescent="0.3">
      <c r="A85" s="13">
        <v>84</v>
      </c>
      <c r="B85" s="14" t="s">
        <v>59</v>
      </c>
      <c r="C85" s="14" t="s">
        <v>27</v>
      </c>
      <c r="D85" s="14" t="s">
        <v>91</v>
      </c>
      <c r="E85" s="14">
        <v>19</v>
      </c>
      <c r="F85" s="14">
        <v>467</v>
      </c>
      <c r="G85" s="15">
        <f>sales[[#This Row],[Units]]*sales[[#This Row],[Sales]]</f>
        <v>8873</v>
      </c>
      <c r="H85" s="15">
        <v>285</v>
      </c>
    </row>
    <row r="86" spans="1:8" x14ac:dyDescent="0.3">
      <c r="A86" s="13">
        <v>85</v>
      </c>
      <c r="B86" s="14" t="s">
        <v>14</v>
      </c>
      <c r="C86" s="14" t="s">
        <v>15</v>
      </c>
      <c r="D86" s="14" t="s">
        <v>92</v>
      </c>
      <c r="E86" s="14">
        <v>11</v>
      </c>
      <c r="F86" s="14">
        <v>366</v>
      </c>
      <c r="G86" s="15">
        <f>sales[[#This Row],[Units]]*sales[[#This Row],[Sales]]</f>
        <v>4026</v>
      </c>
      <c r="H86" s="15">
        <v>223</v>
      </c>
    </row>
    <row r="87" spans="1:8" x14ac:dyDescent="0.3">
      <c r="A87" s="13">
        <v>86</v>
      </c>
      <c r="B87" s="14" t="s">
        <v>20</v>
      </c>
      <c r="C87" s="14" t="s">
        <v>8</v>
      </c>
      <c r="D87" s="14" t="s">
        <v>85</v>
      </c>
      <c r="E87" s="14">
        <v>10</v>
      </c>
      <c r="F87" s="14">
        <v>267</v>
      </c>
      <c r="G87" s="15">
        <f>sales[[#This Row],[Units]]*sales[[#This Row],[Sales]]</f>
        <v>2670</v>
      </c>
      <c r="H87" s="15">
        <v>163</v>
      </c>
    </row>
    <row r="88" spans="1:8" x14ac:dyDescent="0.3">
      <c r="A88" s="13">
        <v>87</v>
      </c>
      <c r="B88" s="14" t="s">
        <v>26</v>
      </c>
      <c r="C88" s="14" t="s">
        <v>21</v>
      </c>
      <c r="D88" s="14" t="s">
        <v>93</v>
      </c>
      <c r="E88" s="14">
        <v>15</v>
      </c>
      <c r="F88" s="14">
        <v>789</v>
      </c>
      <c r="G88" s="15">
        <f>sales[[#This Row],[Units]]*sales[[#This Row],[Sales]]</f>
        <v>11835</v>
      </c>
      <c r="H88" s="15">
        <v>480</v>
      </c>
    </row>
    <row r="89" spans="1:8" x14ac:dyDescent="0.3">
      <c r="A89" s="13">
        <v>88</v>
      </c>
      <c r="B89" s="14" t="s">
        <v>49</v>
      </c>
      <c r="C89" s="14" t="s">
        <v>27</v>
      </c>
      <c r="D89" s="14" t="s">
        <v>61</v>
      </c>
      <c r="E89" s="14">
        <v>14</v>
      </c>
      <c r="F89" s="14">
        <v>655</v>
      </c>
      <c r="G89" s="15">
        <f>sales[[#This Row],[Units]]*sales[[#This Row],[Sales]]</f>
        <v>9170</v>
      </c>
      <c r="H89" s="15">
        <v>399</v>
      </c>
    </row>
    <row r="90" spans="1:8" x14ac:dyDescent="0.3">
      <c r="A90" s="13">
        <v>89</v>
      </c>
      <c r="B90" s="14" t="s">
        <v>37</v>
      </c>
      <c r="C90" s="14" t="s">
        <v>21</v>
      </c>
      <c r="D90" s="14" t="s">
        <v>55</v>
      </c>
      <c r="E90" s="14">
        <v>10</v>
      </c>
      <c r="F90" s="14">
        <v>223</v>
      </c>
      <c r="G90" s="15">
        <f>sales[[#This Row],[Units]]*sales[[#This Row],[Sales]]</f>
        <v>2230</v>
      </c>
      <c r="H90" s="15">
        <v>136</v>
      </c>
    </row>
    <row r="91" spans="1:8" x14ac:dyDescent="0.3">
      <c r="A91" s="13">
        <v>90</v>
      </c>
      <c r="B91" s="14" t="s">
        <v>32</v>
      </c>
      <c r="C91" s="14" t="s">
        <v>15</v>
      </c>
      <c r="D91" s="14" t="s">
        <v>94</v>
      </c>
      <c r="E91" s="14">
        <v>9</v>
      </c>
      <c r="F91" s="14">
        <v>192</v>
      </c>
      <c r="G91" s="15">
        <f>sales[[#This Row],[Units]]*sales[[#This Row],[Sales]]</f>
        <v>1728</v>
      </c>
      <c r="H91" s="15">
        <v>117</v>
      </c>
    </row>
    <row r="92" spans="1:8" x14ac:dyDescent="0.3">
      <c r="A92" s="13">
        <v>91</v>
      </c>
      <c r="B92" s="14" t="s">
        <v>41</v>
      </c>
      <c r="C92" s="14" t="s">
        <v>8</v>
      </c>
      <c r="D92" s="14" t="s">
        <v>95</v>
      </c>
      <c r="E92" s="14">
        <v>12</v>
      </c>
      <c r="F92" s="14">
        <v>326</v>
      </c>
      <c r="G92" s="15">
        <f>sales[[#This Row],[Units]]*sales[[#This Row],[Sales]]</f>
        <v>3912</v>
      </c>
      <c r="H92" s="15">
        <v>199</v>
      </c>
    </row>
    <row r="93" spans="1:8" x14ac:dyDescent="0.3">
      <c r="A93" s="13">
        <v>92</v>
      </c>
      <c r="B93" s="14" t="s">
        <v>45</v>
      </c>
      <c r="C93" s="14" t="s">
        <v>27</v>
      </c>
      <c r="D93" s="14" t="s">
        <v>69</v>
      </c>
      <c r="E93" s="14">
        <v>18</v>
      </c>
      <c r="F93" s="14">
        <v>499</v>
      </c>
      <c r="G93" s="15">
        <f>sales[[#This Row],[Units]]*sales[[#This Row],[Sales]]</f>
        <v>8982</v>
      </c>
      <c r="H93" s="15">
        <v>305</v>
      </c>
    </row>
    <row r="94" spans="1:8" x14ac:dyDescent="0.3">
      <c r="A94" s="13">
        <v>93</v>
      </c>
      <c r="B94" s="14" t="s">
        <v>54</v>
      </c>
      <c r="C94" s="14" t="s">
        <v>21</v>
      </c>
      <c r="D94" s="14" t="s">
        <v>50</v>
      </c>
      <c r="E94" s="14">
        <v>21</v>
      </c>
      <c r="F94" s="14">
        <v>633</v>
      </c>
      <c r="G94" s="15">
        <f>sales[[#This Row],[Units]]*sales[[#This Row],[Sales]]</f>
        <v>13293</v>
      </c>
      <c r="H94" s="15">
        <v>385</v>
      </c>
    </row>
    <row r="95" spans="1:8" x14ac:dyDescent="0.3">
      <c r="A95" s="13">
        <v>94</v>
      </c>
      <c r="B95" s="14" t="s">
        <v>59</v>
      </c>
      <c r="C95" s="14" t="s">
        <v>27</v>
      </c>
      <c r="D95" s="14" t="s">
        <v>96</v>
      </c>
      <c r="E95" s="14">
        <v>13</v>
      </c>
      <c r="F95" s="14">
        <v>432</v>
      </c>
      <c r="G95" s="15">
        <f>sales[[#This Row],[Units]]*sales[[#This Row],[Sales]]</f>
        <v>5616</v>
      </c>
      <c r="H95" s="15">
        <v>263</v>
      </c>
    </row>
    <row r="96" spans="1:8" x14ac:dyDescent="0.3">
      <c r="A96" s="13">
        <v>95</v>
      </c>
      <c r="B96" s="14" t="s">
        <v>14</v>
      </c>
      <c r="C96" s="14" t="s">
        <v>21</v>
      </c>
      <c r="D96" s="14" t="s">
        <v>97</v>
      </c>
      <c r="E96" s="14">
        <v>14</v>
      </c>
      <c r="F96" s="14">
        <v>655</v>
      </c>
      <c r="G96" s="15">
        <f>sales[[#This Row],[Units]]*sales[[#This Row],[Sales]]</f>
        <v>9170</v>
      </c>
      <c r="H96" s="15">
        <v>399</v>
      </c>
    </row>
    <row r="97" spans="1:8" x14ac:dyDescent="0.3">
      <c r="A97" s="13">
        <v>96</v>
      </c>
      <c r="B97" s="14" t="s">
        <v>20</v>
      </c>
      <c r="C97" s="14" t="s">
        <v>8</v>
      </c>
      <c r="D97" s="14" t="s">
        <v>98</v>
      </c>
      <c r="E97" s="14">
        <v>15</v>
      </c>
      <c r="F97" s="14">
        <v>785</v>
      </c>
      <c r="G97" s="15">
        <f>sales[[#This Row],[Units]]*sales[[#This Row],[Sales]]</f>
        <v>11775</v>
      </c>
      <c r="H97" s="15">
        <v>480</v>
      </c>
    </row>
    <row r="98" spans="1:8" x14ac:dyDescent="0.3">
      <c r="A98" s="13">
        <v>97</v>
      </c>
      <c r="B98" s="14" t="s">
        <v>26</v>
      </c>
      <c r="C98" s="14" t="s">
        <v>27</v>
      </c>
      <c r="D98" s="14" t="s">
        <v>9</v>
      </c>
      <c r="E98" s="14">
        <v>9</v>
      </c>
      <c r="F98" s="14">
        <v>147</v>
      </c>
      <c r="G98" s="15">
        <f>sales[[#This Row],[Units]]*sales[[#This Row],[Sales]]</f>
        <v>1323</v>
      </c>
      <c r="H98" s="15">
        <v>90</v>
      </c>
    </row>
    <row r="99" spans="1:8" x14ac:dyDescent="0.3">
      <c r="A99" s="13">
        <v>98</v>
      </c>
      <c r="B99" s="14" t="s">
        <v>49</v>
      </c>
      <c r="C99" s="14" t="s">
        <v>8</v>
      </c>
      <c r="D99" s="14" t="s">
        <v>99</v>
      </c>
      <c r="E99" s="14">
        <v>17</v>
      </c>
      <c r="F99" s="14">
        <v>864</v>
      </c>
      <c r="G99" s="15">
        <f>sales[[#This Row],[Units]]*sales[[#This Row],[Sales]]</f>
        <v>14688</v>
      </c>
      <c r="H99" s="15">
        <v>527</v>
      </c>
    </row>
    <row r="100" spans="1:8" x14ac:dyDescent="0.3">
      <c r="A100" s="13">
        <v>99</v>
      </c>
      <c r="B100" s="14" t="s">
        <v>37</v>
      </c>
      <c r="C100" s="14" t="s">
        <v>27</v>
      </c>
      <c r="D100" s="14" t="s">
        <v>70</v>
      </c>
      <c r="E100" s="14">
        <v>20</v>
      </c>
      <c r="F100" s="14">
        <v>999</v>
      </c>
      <c r="G100" s="15">
        <f>sales[[#This Row],[Units]]*sales[[#This Row],[Sales]]</f>
        <v>19980</v>
      </c>
      <c r="H100" s="15">
        <v>610</v>
      </c>
    </row>
    <row r="101" spans="1:8" x14ac:dyDescent="0.3">
      <c r="A101" s="13">
        <v>100</v>
      </c>
      <c r="B101" s="14" t="s">
        <v>32</v>
      </c>
      <c r="C101" s="14" t="s">
        <v>15</v>
      </c>
      <c r="D101" s="14" t="s">
        <v>39</v>
      </c>
      <c r="E101" s="14">
        <v>16</v>
      </c>
      <c r="F101" s="14">
        <v>722</v>
      </c>
      <c r="G101" s="15">
        <f>sales[[#This Row],[Units]]*sales[[#This Row],[Sales]]</f>
        <v>11552</v>
      </c>
      <c r="H101" s="15">
        <v>441</v>
      </c>
    </row>
    <row r="102" spans="1:8" x14ac:dyDescent="0.3">
      <c r="A102" s="13">
        <v>101</v>
      </c>
      <c r="B102" s="14" t="s">
        <v>41</v>
      </c>
      <c r="C102" s="14" t="s">
        <v>8</v>
      </c>
      <c r="D102" s="14" t="s">
        <v>51</v>
      </c>
      <c r="E102" s="14">
        <v>8</v>
      </c>
      <c r="F102" s="14">
        <v>125</v>
      </c>
      <c r="G102" s="15">
        <f>sales[[#This Row],[Units]]*sales[[#This Row],[Sales]]</f>
        <v>1000</v>
      </c>
      <c r="H102" s="15">
        <v>76</v>
      </c>
    </row>
    <row r="103" spans="1:8" x14ac:dyDescent="0.3">
      <c r="A103" s="13">
        <v>102</v>
      </c>
      <c r="B103" s="14" t="s">
        <v>45</v>
      </c>
      <c r="C103" s="14" t="s">
        <v>27</v>
      </c>
      <c r="D103" s="14" t="s">
        <v>65</v>
      </c>
      <c r="E103" s="14">
        <v>16</v>
      </c>
      <c r="F103" s="14">
        <v>777</v>
      </c>
      <c r="G103" s="15">
        <f>sales[[#This Row],[Units]]*sales[[#This Row],[Sales]]</f>
        <v>12432</v>
      </c>
      <c r="H103" s="15">
        <v>475</v>
      </c>
    </row>
    <row r="104" spans="1:8" x14ac:dyDescent="0.3">
      <c r="A104" s="13">
        <v>103</v>
      </c>
      <c r="B104" s="14" t="s">
        <v>54</v>
      </c>
      <c r="C104" s="14" t="s">
        <v>21</v>
      </c>
      <c r="D104" s="14" t="s">
        <v>58</v>
      </c>
      <c r="E104" s="14">
        <v>12</v>
      </c>
      <c r="F104" s="14">
        <v>342</v>
      </c>
      <c r="G104" s="15">
        <f>sales[[#This Row],[Units]]*sales[[#This Row],[Sales]]</f>
        <v>4104</v>
      </c>
      <c r="H104" s="15">
        <v>209</v>
      </c>
    </row>
    <row r="105" spans="1:8" x14ac:dyDescent="0.3">
      <c r="A105" s="13">
        <v>104</v>
      </c>
      <c r="B105" s="14" t="s">
        <v>59</v>
      </c>
      <c r="C105" s="14" t="s">
        <v>15</v>
      </c>
      <c r="D105" s="14" t="s">
        <v>60</v>
      </c>
      <c r="E105" s="14">
        <v>13</v>
      </c>
      <c r="F105" s="14">
        <v>453</v>
      </c>
      <c r="G105" s="15">
        <f>sales[[#This Row],[Units]]*sales[[#This Row],[Sales]]</f>
        <v>5889</v>
      </c>
      <c r="H105" s="15">
        <v>276</v>
      </c>
    </row>
    <row r="106" spans="1:8" x14ac:dyDescent="0.3">
      <c r="A106" s="13">
        <v>105</v>
      </c>
      <c r="B106" s="14" t="s">
        <v>14</v>
      </c>
      <c r="C106" s="14" t="s">
        <v>21</v>
      </c>
      <c r="D106" s="14" t="s">
        <v>43</v>
      </c>
      <c r="E106" s="14">
        <v>10</v>
      </c>
      <c r="F106" s="14">
        <v>238</v>
      </c>
      <c r="G106" s="15">
        <f>sales[[#This Row],[Units]]*sales[[#This Row],[Sales]]</f>
        <v>2380</v>
      </c>
      <c r="H106" s="15">
        <v>145</v>
      </c>
    </row>
    <row r="107" spans="1:8" x14ac:dyDescent="0.3">
      <c r="A107" s="13">
        <v>106</v>
      </c>
      <c r="B107" s="14" t="s">
        <v>20</v>
      </c>
      <c r="C107" s="14" t="s">
        <v>8</v>
      </c>
      <c r="D107" s="14" t="s">
        <v>66</v>
      </c>
      <c r="E107" s="14">
        <v>19</v>
      </c>
      <c r="F107" s="14">
        <v>468</v>
      </c>
      <c r="G107" s="15">
        <f>sales[[#This Row],[Units]]*sales[[#This Row],[Sales]]</f>
        <v>8892</v>
      </c>
      <c r="H107" s="15">
        <v>286</v>
      </c>
    </row>
    <row r="108" spans="1:8" x14ac:dyDescent="0.3">
      <c r="A108" s="13">
        <v>107</v>
      </c>
      <c r="B108" s="14" t="s">
        <v>26</v>
      </c>
      <c r="C108" s="14" t="s">
        <v>27</v>
      </c>
      <c r="D108" s="14" t="s">
        <v>73</v>
      </c>
      <c r="E108" s="14">
        <v>11</v>
      </c>
      <c r="F108" s="14">
        <v>356</v>
      </c>
      <c r="G108" s="15">
        <f>sales[[#This Row],[Units]]*sales[[#This Row],[Sales]]</f>
        <v>3916</v>
      </c>
      <c r="H108" s="15">
        <v>217</v>
      </c>
    </row>
    <row r="109" spans="1:8" x14ac:dyDescent="0.3">
      <c r="A109" s="13">
        <v>108</v>
      </c>
      <c r="B109" s="14" t="s">
        <v>49</v>
      </c>
      <c r="C109" s="14" t="s">
        <v>8</v>
      </c>
      <c r="D109" s="14" t="s">
        <v>44</v>
      </c>
      <c r="E109" s="14">
        <v>17</v>
      </c>
      <c r="F109" s="14">
        <v>799</v>
      </c>
      <c r="G109" s="15">
        <f>sales[[#This Row],[Units]]*sales[[#This Row],[Sales]]</f>
        <v>13583</v>
      </c>
      <c r="H109" s="15">
        <v>488</v>
      </c>
    </row>
    <row r="110" spans="1:8" x14ac:dyDescent="0.3">
      <c r="A110" s="13">
        <v>109</v>
      </c>
      <c r="B110" s="14" t="s">
        <v>37</v>
      </c>
      <c r="C110" s="14" t="s">
        <v>27</v>
      </c>
      <c r="D110" s="14" t="s">
        <v>72</v>
      </c>
      <c r="E110" s="14">
        <v>15</v>
      </c>
      <c r="F110" s="14">
        <v>789</v>
      </c>
      <c r="G110" s="15">
        <f>sales[[#This Row],[Units]]*sales[[#This Row],[Sales]]</f>
        <v>11835</v>
      </c>
      <c r="H110" s="15">
        <v>480</v>
      </c>
    </row>
    <row r="111" spans="1:8" x14ac:dyDescent="0.3">
      <c r="A111" s="13">
        <v>110</v>
      </c>
      <c r="B111" s="14" t="s">
        <v>32</v>
      </c>
      <c r="C111" s="14" t="s">
        <v>8</v>
      </c>
      <c r="D111" s="14" t="s">
        <v>52</v>
      </c>
      <c r="E111" s="14">
        <v>8</v>
      </c>
      <c r="F111" s="14">
        <v>156</v>
      </c>
      <c r="G111" s="15">
        <f>sales[[#This Row],[Units]]*sales[[#This Row],[Sales]]</f>
        <v>1248</v>
      </c>
      <c r="H111" s="15">
        <v>95</v>
      </c>
    </row>
    <row r="112" spans="1:8" x14ac:dyDescent="0.3">
      <c r="A112" s="13">
        <v>111</v>
      </c>
      <c r="B112" s="14" t="s">
        <v>41</v>
      </c>
      <c r="C112" s="14" t="s">
        <v>21</v>
      </c>
      <c r="D112" s="14" t="s">
        <v>68</v>
      </c>
      <c r="E112" s="14">
        <v>14</v>
      </c>
      <c r="F112" s="14">
        <v>655</v>
      </c>
      <c r="G112" s="15">
        <f>sales[[#This Row],[Units]]*sales[[#This Row],[Sales]]</f>
        <v>9170</v>
      </c>
      <c r="H112" s="15">
        <v>399</v>
      </c>
    </row>
    <row r="113" spans="1:8" x14ac:dyDescent="0.3">
      <c r="A113" s="13">
        <v>112</v>
      </c>
      <c r="B113" s="14" t="s">
        <v>45</v>
      </c>
      <c r="C113" s="14" t="s">
        <v>21</v>
      </c>
      <c r="D113" s="14" t="s">
        <v>56</v>
      </c>
      <c r="E113" s="14">
        <v>10</v>
      </c>
      <c r="F113" s="14">
        <v>239</v>
      </c>
      <c r="G113" s="15">
        <f>sales[[#This Row],[Units]]*sales[[#This Row],[Sales]]</f>
        <v>2390</v>
      </c>
      <c r="H113" s="15">
        <v>146</v>
      </c>
    </row>
    <row r="114" spans="1:8" x14ac:dyDescent="0.3">
      <c r="A114" s="13">
        <v>113</v>
      </c>
      <c r="B114" s="14" t="s">
        <v>54</v>
      </c>
      <c r="C114" s="14" t="s">
        <v>27</v>
      </c>
      <c r="D114" s="14" t="s">
        <v>67</v>
      </c>
      <c r="E114" s="14">
        <v>16</v>
      </c>
      <c r="F114" s="14">
        <v>745</v>
      </c>
      <c r="G114" s="15">
        <f>sales[[#This Row],[Units]]*sales[[#This Row],[Sales]]</f>
        <v>11920</v>
      </c>
      <c r="H114" s="15">
        <v>454</v>
      </c>
    </row>
    <row r="115" spans="1:8" x14ac:dyDescent="0.3">
      <c r="A115" s="13">
        <v>114</v>
      </c>
      <c r="B115" s="14" t="s">
        <v>59</v>
      </c>
      <c r="C115" s="14" t="s">
        <v>15</v>
      </c>
      <c r="D115" s="14" t="s">
        <v>65</v>
      </c>
      <c r="E115" s="14">
        <v>19</v>
      </c>
      <c r="F115" s="14">
        <v>489</v>
      </c>
      <c r="G115" s="15">
        <f>sales[[#This Row],[Units]]*sales[[#This Row],[Sales]]</f>
        <v>9291</v>
      </c>
      <c r="H115" s="15">
        <v>298</v>
      </c>
    </row>
    <row r="116" spans="1:8" x14ac:dyDescent="0.3">
      <c r="A116" s="13">
        <v>115</v>
      </c>
      <c r="B116" s="14" t="s">
        <v>14</v>
      </c>
      <c r="C116" s="14" t="s">
        <v>21</v>
      </c>
      <c r="D116" s="14" t="s">
        <v>65</v>
      </c>
      <c r="E116" s="14">
        <v>9</v>
      </c>
      <c r="F116" s="14">
        <v>194</v>
      </c>
      <c r="G116" s="15">
        <f>sales[[#This Row],[Units]]*sales[[#This Row],[Sales]]</f>
        <v>1746</v>
      </c>
      <c r="H116" s="15">
        <v>118</v>
      </c>
    </row>
    <row r="117" spans="1:8" x14ac:dyDescent="0.3">
      <c r="A117" s="13">
        <v>116</v>
      </c>
      <c r="B117" s="14" t="s">
        <v>20</v>
      </c>
      <c r="C117" s="14" t="s">
        <v>8</v>
      </c>
      <c r="D117" s="14" t="s">
        <v>100</v>
      </c>
      <c r="E117" s="14">
        <v>15</v>
      </c>
      <c r="F117" s="14">
        <v>786</v>
      </c>
      <c r="G117" s="15">
        <f>sales[[#This Row],[Units]]*sales[[#This Row],[Sales]]</f>
        <v>11790</v>
      </c>
      <c r="H117" s="15">
        <v>479</v>
      </c>
    </row>
    <row r="118" spans="1:8" x14ac:dyDescent="0.3">
      <c r="A118" s="13">
        <v>117</v>
      </c>
      <c r="B118" s="14" t="s">
        <v>26</v>
      </c>
      <c r="C118" s="14" t="s">
        <v>27</v>
      </c>
      <c r="D118" s="14" t="s">
        <v>53</v>
      </c>
      <c r="E118" s="14">
        <v>10</v>
      </c>
      <c r="F118" s="14">
        <v>219</v>
      </c>
      <c r="G118" s="15">
        <f>sales[[#This Row],[Units]]*sales[[#This Row],[Sales]]</f>
        <v>2190</v>
      </c>
      <c r="H118" s="15">
        <v>133</v>
      </c>
    </row>
    <row r="119" spans="1:8" x14ac:dyDescent="0.3">
      <c r="A119" s="13">
        <v>118</v>
      </c>
      <c r="B119" s="14" t="s">
        <v>49</v>
      </c>
      <c r="C119" s="14" t="s">
        <v>8</v>
      </c>
      <c r="D119" s="14" t="s">
        <v>81</v>
      </c>
      <c r="E119" s="14">
        <v>17</v>
      </c>
      <c r="F119" s="14">
        <v>765</v>
      </c>
      <c r="G119" s="15">
        <f>sales[[#This Row],[Units]]*sales[[#This Row],[Sales]]</f>
        <v>13005</v>
      </c>
      <c r="H119" s="15">
        <v>466</v>
      </c>
    </row>
    <row r="120" spans="1:8" x14ac:dyDescent="0.3">
      <c r="A120" s="13">
        <v>119</v>
      </c>
      <c r="B120" s="14" t="s">
        <v>37</v>
      </c>
      <c r="C120" s="14" t="s">
        <v>27</v>
      </c>
      <c r="D120" s="14" t="s">
        <v>79</v>
      </c>
      <c r="E120" s="14">
        <v>12</v>
      </c>
      <c r="F120" s="14">
        <v>333</v>
      </c>
      <c r="G120" s="15">
        <f>sales[[#This Row],[Units]]*sales[[#This Row],[Sales]]</f>
        <v>3996</v>
      </c>
      <c r="H120" s="15">
        <v>203</v>
      </c>
    </row>
    <row r="121" spans="1:8" x14ac:dyDescent="0.3">
      <c r="A121" s="13">
        <v>120</v>
      </c>
      <c r="B121" s="14" t="s">
        <v>32</v>
      </c>
      <c r="C121" s="14" t="s">
        <v>8</v>
      </c>
      <c r="D121" s="14" t="s">
        <v>80</v>
      </c>
      <c r="E121" s="14">
        <v>15</v>
      </c>
      <c r="F121" s="14">
        <v>789</v>
      </c>
      <c r="G121" s="15">
        <f>sales[[#This Row],[Units]]*sales[[#This Row],[Sales]]</f>
        <v>11835</v>
      </c>
      <c r="H121" s="15">
        <v>480</v>
      </c>
    </row>
    <row r="122" spans="1:8" x14ac:dyDescent="0.3">
      <c r="A122" s="13">
        <v>121</v>
      </c>
      <c r="B122" s="14" t="s">
        <v>41</v>
      </c>
      <c r="C122" s="14" t="s">
        <v>21</v>
      </c>
      <c r="D122" s="14" t="s">
        <v>77</v>
      </c>
      <c r="E122" s="14">
        <v>9</v>
      </c>
      <c r="F122" s="14">
        <v>127</v>
      </c>
      <c r="G122" s="15">
        <f>sales[[#This Row],[Units]]*sales[[#This Row],[Sales]]</f>
        <v>1143</v>
      </c>
      <c r="H122" s="15">
        <v>77</v>
      </c>
    </row>
    <row r="123" spans="1:8" x14ac:dyDescent="0.3">
      <c r="A123" s="13">
        <v>122</v>
      </c>
      <c r="B123" s="14" t="s">
        <v>45</v>
      </c>
      <c r="C123" s="14" t="s">
        <v>27</v>
      </c>
      <c r="D123" s="14" t="s">
        <v>76</v>
      </c>
      <c r="E123" s="14">
        <v>14</v>
      </c>
      <c r="F123" s="14">
        <v>655</v>
      </c>
      <c r="G123" s="15">
        <f>sales[[#This Row],[Units]]*sales[[#This Row],[Sales]]</f>
        <v>9170</v>
      </c>
      <c r="H123" s="15">
        <v>399</v>
      </c>
    </row>
    <row r="124" spans="1:8" x14ac:dyDescent="0.3">
      <c r="A124" s="16">
        <v>123</v>
      </c>
      <c r="B124" s="17" t="s">
        <v>54</v>
      </c>
      <c r="C124" s="17" t="s">
        <v>27</v>
      </c>
      <c r="D124" s="17" t="s">
        <v>68</v>
      </c>
      <c r="E124" s="17">
        <v>10</v>
      </c>
      <c r="F124" s="17">
        <v>225</v>
      </c>
      <c r="G124" s="18">
        <f>sales[[#This Row],[Units]]*sales[[#This Row],[Sales]]</f>
        <v>2250</v>
      </c>
      <c r="H124" s="18">
        <v>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80E-CC2B-4721-A567-10B877E79D9E}">
  <dimension ref="A2:B47"/>
  <sheetViews>
    <sheetView tabSelected="1" topLeftCell="A2" workbookViewId="0">
      <selection activeCell="I19" sqref="I19"/>
    </sheetView>
  </sheetViews>
  <sheetFormatPr defaultRowHeight="14.4" x14ac:dyDescent="0.3"/>
  <cols>
    <col min="2" max="2" width="63.21875" bestFit="1" customWidth="1"/>
  </cols>
  <sheetData>
    <row r="2" spans="2:2" x14ac:dyDescent="0.3">
      <c r="B2" s="1" t="s">
        <v>101</v>
      </c>
    </row>
    <row r="3" spans="2:2" x14ac:dyDescent="0.3">
      <c r="B3" s="2"/>
    </row>
    <row r="4" spans="2:2" x14ac:dyDescent="0.3">
      <c r="B4" s="3" t="s">
        <v>102</v>
      </c>
    </row>
    <row r="5" spans="2:2" x14ac:dyDescent="0.3">
      <c r="B5" s="2"/>
    </row>
    <row r="6" spans="2:2" x14ac:dyDescent="0.3">
      <c r="B6" s="2" t="s">
        <v>103</v>
      </c>
    </row>
    <row r="7" spans="2:2" x14ac:dyDescent="0.3">
      <c r="B7" s="2"/>
    </row>
    <row r="8" spans="2:2" x14ac:dyDescent="0.3">
      <c r="B8" s="2" t="s">
        <v>104</v>
      </c>
    </row>
    <row r="9" spans="2:2" x14ac:dyDescent="0.3">
      <c r="B9" s="2"/>
    </row>
    <row r="10" spans="2:2" x14ac:dyDescent="0.3">
      <c r="B10" s="2" t="s">
        <v>105</v>
      </c>
    </row>
    <row r="11" spans="2:2" x14ac:dyDescent="0.3">
      <c r="B11" s="2"/>
    </row>
    <row r="12" spans="2:2" x14ac:dyDescent="0.3">
      <c r="B12" s="2" t="s">
        <v>106</v>
      </c>
    </row>
    <row r="13" spans="2:2" x14ac:dyDescent="0.3">
      <c r="B13" s="2"/>
    </row>
    <row r="14" spans="2:2" x14ac:dyDescent="0.3">
      <c r="B14" s="2" t="s">
        <v>107</v>
      </c>
    </row>
    <row r="15" spans="2:2" x14ac:dyDescent="0.3">
      <c r="B15" s="2"/>
    </row>
    <row r="16" spans="2:2" x14ac:dyDescent="0.3">
      <c r="B16" s="2" t="s">
        <v>108</v>
      </c>
    </row>
    <row r="17" spans="1:2" x14ac:dyDescent="0.3">
      <c r="B17" s="2"/>
    </row>
    <row r="18" spans="1:2" x14ac:dyDescent="0.3">
      <c r="B18" s="2" t="s">
        <v>109</v>
      </c>
    </row>
    <row r="20" spans="1:2" x14ac:dyDescent="0.3">
      <c r="A20" s="4">
        <v>11</v>
      </c>
      <c r="B20" s="5" t="s">
        <v>110</v>
      </c>
    </row>
    <row r="21" spans="1:2" x14ac:dyDescent="0.3">
      <c r="A21" s="4">
        <v>12</v>
      </c>
      <c r="B21" s="5" t="s">
        <v>111</v>
      </c>
    </row>
    <row r="22" spans="1:2" x14ac:dyDescent="0.3">
      <c r="A22" s="4">
        <v>13</v>
      </c>
      <c r="B22" s="5" t="s">
        <v>112</v>
      </c>
    </row>
    <row r="23" spans="1:2" x14ac:dyDescent="0.3">
      <c r="A23" s="4">
        <v>14</v>
      </c>
      <c r="B23" s="5" t="s">
        <v>113</v>
      </c>
    </row>
    <row r="24" spans="1:2" x14ac:dyDescent="0.3">
      <c r="A24" s="4">
        <v>15</v>
      </c>
      <c r="B24" s="5" t="s">
        <v>114</v>
      </c>
    </row>
    <row r="25" spans="1:2" x14ac:dyDescent="0.3">
      <c r="A25" s="4">
        <v>16</v>
      </c>
      <c r="B25" s="5" t="s">
        <v>115</v>
      </c>
    </row>
    <row r="26" spans="1:2" x14ac:dyDescent="0.3">
      <c r="A26" s="4">
        <v>17</v>
      </c>
      <c r="B26" s="5" t="s">
        <v>116</v>
      </c>
    </row>
    <row r="27" spans="1:2" x14ac:dyDescent="0.3">
      <c r="A27" s="4">
        <v>18</v>
      </c>
      <c r="B27" s="5" t="s">
        <v>117</v>
      </c>
    </row>
    <row r="28" spans="1:2" x14ac:dyDescent="0.3">
      <c r="A28" s="4">
        <v>19</v>
      </c>
      <c r="B28" s="5" t="s">
        <v>118</v>
      </c>
    </row>
    <row r="29" spans="1:2" x14ac:dyDescent="0.3">
      <c r="A29" s="4">
        <v>20</v>
      </c>
      <c r="B29" s="5" t="s">
        <v>119</v>
      </c>
    </row>
    <row r="30" spans="1:2" x14ac:dyDescent="0.3">
      <c r="A30" s="4">
        <v>21</v>
      </c>
      <c r="B30" s="5" t="s">
        <v>120</v>
      </c>
    </row>
    <row r="31" spans="1:2" x14ac:dyDescent="0.3">
      <c r="A31" s="4">
        <v>22</v>
      </c>
      <c r="B31" s="5" t="s">
        <v>121</v>
      </c>
    </row>
    <row r="33" spans="1:2" x14ac:dyDescent="0.3">
      <c r="A33" s="4">
        <v>24</v>
      </c>
      <c r="B33" t="s">
        <v>122</v>
      </c>
    </row>
    <row r="34" spans="1:2" x14ac:dyDescent="0.3">
      <c r="A34" s="4">
        <v>25</v>
      </c>
      <c r="B34" t="s">
        <v>123</v>
      </c>
    </row>
    <row r="35" spans="1:2" x14ac:dyDescent="0.3">
      <c r="A35" s="4">
        <v>26</v>
      </c>
      <c r="B35" t="s">
        <v>124</v>
      </c>
    </row>
    <row r="36" spans="1:2" x14ac:dyDescent="0.3">
      <c r="A36" s="4">
        <v>27</v>
      </c>
      <c r="B36" t="s">
        <v>125</v>
      </c>
    </row>
    <row r="37" spans="1:2" x14ac:dyDescent="0.3">
      <c r="A37" s="4">
        <v>28</v>
      </c>
      <c r="B37" t="s">
        <v>126</v>
      </c>
    </row>
    <row r="38" spans="1:2" x14ac:dyDescent="0.3">
      <c r="A38" s="4">
        <v>29</v>
      </c>
      <c r="B38" t="s">
        <v>127</v>
      </c>
    </row>
    <row r="39" spans="1:2" x14ac:dyDescent="0.3">
      <c r="A39" s="4">
        <v>30</v>
      </c>
      <c r="B39" t="s">
        <v>128</v>
      </c>
    </row>
    <row r="40" spans="1:2" x14ac:dyDescent="0.3">
      <c r="A40" s="4">
        <v>31</v>
      </c>
      <c r="B40" t="s">
        <v>129</v>
      </c>
    </row>
    <row r="41" spans="1:2" x14ac:dyDescent="0.3">
      <c r="A41" s="4">
        <v>32</v>
      </c>
      <c r="B41" t="s">
        <v>130</v>
      </c>
    </row>
    <row r="42" spans="1:2" x14ac:dyDescent="0.3">
      <c r="A42" s="4">
        <v>33</v>
      </c>
      <c r="B42" t="s">
        <v>131</v>
      </c>
    </row>
    <row r="43" spans="1:2" x14ac:dyDescent="0.3">
      <c r="A43" s="4">
        <v>34</v>
      </c>
      <c r="B43" t="s">
        <v>132</v>
      </c>
    </row>
    <row r="44" spans="1:2" x14ac:dyDescent="0.3">
      <c r="A44" s="4">
        <v>35</v>
      </c>
      <c r="B44" t="s">
        <v>133</v>
      </c>
    </row>
    <row r="45" spans="1:2" x14ac:dyDescent="0.3">
      <c r="A45" s="4">
        <v>36</v>
      </c>
      <c r="B45" t="s">
        <v>134</v>
      </c>
    </row>
    <row r="46" spans="1:2" x14ac:dyDescent="0.3">
      <c r="A46" s="4">
        <v>37</v>
      </c>
      <c r="B46" t="s">
        <v>135</v>
      </c>
    </row>
    <row r="47" spans="1:2" x14ac:dyDescent="0.3">
      <c r="A47" s="4">
        <v>38</v>
      </c>
      <c r="B47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E203-A316-4467-8583-2D5B98C33EEE}">
  <dimension ref="B2:O484"/>
  <sheetViews>
    <sheetView topLeftCell="A422" zoomScale="92" zoomScaleNormal="92" workbookViewId="0">
      <selection activeCell="C471" sqref="C471"/>
    </sheetView>
  </sheetViews>
  <sheetFormatPr defaultRowHeight="14.4" x14ac:dyDescent="0.3"/>
  <cols>
    <col min="3" max="3" width="13.109375" bestFit="1" customWidth="1"/>
    <col min="4" max="4" width="15.77734375" bestFit="1" customWidth="1"/>
    <col min="5" max="5" width="6" bestFit="1" customWidth="1"/>
    <col min="6" max="7" width="6.5546875" bestFit="1" customWidth="1"/>
    <col min="8" max="8" width="11" bestFit="1" customWidth="1"/>
    <col min="9" max="9" width="4.77734375" bestFit="1" customWidth="1"/>
    <col min="10" max="10" width="5.21875" bestFit="1" customWidth="1"/>
    <col min="11" max="11" width="7.44140625" bestFit="1" customWidth="1"/>
    <col min="12" max="12" width="5.5546875" bestFit="1" customWidth="1"/>
    <col min="13" max="13" width="5.77734375" bestFit="1" customWidth="1"/>
    <col min="14" max="14" width="7" bestFit="1" customWidth="1"/>
    <col min="15" max="15" width="13" bestFit="1" customWidth="1"/>
    <col min="16" max="16" width="8.21875" bestFit="1" customWidth="1"/>
    <col min="17" max="17" width="7.109375" bestFit="1" customWidth="1"/>
    <col min="18" max="18" width="6.21875" bestFit="1" customWidth="1"/>
    <col min="19" max="19" width="4.33203125" bestFit="1" customWidth="1"/>
    <col min="20" max="20" width="6.6640625" bestFit="1" customWidth="1"/>
    <col min="21" max="21" width="5.21875" bestFit="1" customWidth="1"/>
    <col min="22" max="22" width="6.21875" bestFit="1" customWidth="1"/>
    <col min="23" max="23" width="7.6640625" bestFit="1" customWidth="1"/>
    <col min="24" max="24" width="5.77734375" bestFit="1" customWidth="1"/>
    <col min="25" max="25" width="4.77734375" bestFit="1" customWidth="1"/>
    <col min="26" max="26" width="6" bestFit="1" customWidth="1"/>
    <col min="27" max="27" width="6.21875" bestFit="1" customWidth="1"/>
    <col min="28" max="28" width="6.88671875" bestFit="1" customWidth="1"/>
    <col min="29" max="29" width="6.6640625" bestFit="1" customWidth="1"/>
    <col min="30" max="30" width="6.109375" bestFit="1" customWidth="1"/>
    <col min="31" max="31" width="5.44140625" bestFit="1" customWidth="1"/>
    <col min="32" max="32" width="4.5546875" bestFit="1" customWidth="1"/>
    <col min="33" max="33" width="6.44140625" bestFit="1" customWidth="1"/>
    <col min="34" max="34" width="5.33203125" bestFit="1" customWidth="1"/>
    <col min="35" max="35" width="4.5546875" bestFit="1" customWidth="1"/>
    <col min="36" max="36" width="6.88671875" bestFit="1" customWidth="1"/>
    <col min="37" max="37" width="7.33203125" bestFit="1" customWidth="1"/>
    <col min="38" max="38" width="6.5546875" bestFit="1" customWidth="1"/>
    <col min="39" max="39" width="10.44140625" bestFit="1" customWidth="1"/>
    <col min="40" max="40" width="6.77734375" bestFit="1" customWidth="1"/>
    <col min="41" max="41" width="7.44140625" bestFit="1" customWidth="1"/>
    <col min="42" max="42" width="8" bestFit="1" customWidth="1"/>
    <col min="43" max="44" width="7.5546875" bestFit="1" customWidth="1"/>
    <col min="45" max="45" width="7.6640625" bestFit="1" customWidth="1"/>
    <col min="46" max="46" width="5.5546875" bestFit="1" customWidth="1"/>
    <col min="47" max="47" width="5.77734375" bestFit="1" customWidth="1"/>
    <col min="48" max="48" width="6.88671875" bestFit="1" customWidth="1"/>
    <col min="49" max="49" width="8.109375" bestFit="1" customWidth="1"/>
    <col min="50" max="50" width="6.21875" bestFit="1" customWidth="1"/>
    <col min="51" max="51" width="5.33203125" bestFit="1" customWidth="1"/>
    <col min="52" max="52" width="5.88671875" bestFit="1" customWidth="1"/>
    <col min="53" max="53" width="4.33203125" bestFit="1" customWidth="1"/>
    <col min="54" max="54" width="5.44140625" bestFit="1" customWidth="1"/>
    <col min="55" max="55" width="6.77734375" bestFit="1" customWidth="1"/>
    <col min="56" max="56" width="5.21875" bestFit="1" customWidth="1"/>
    <col min="57" max="57" width="8" bestFit="1" customWidth="1"/>
    <col min="58" max="58" width="5.21875" bestFit="1" customWidth="1"/>
    <col min="59" max="60" width="6.5546875" bestFit="1" customWidth="1"/>
    <col min="61" max="61" width="5.6640625" bestFit="1" customWidth="1"/>
    <col min="62" max="62" width="5.44140625" bestFit="1" customWidth="1"/>
    <col min="63" max="63" width="7.5546875" bestFit="1" customWidth="1"/>
    <col min="64" max="64" width="5.88671875" bestFit="1" customWidth="1"/>
    <col min="65" max="66" width="6.109375" bestFit="1" customWidth="1"/>
    <col min="67" max="67" width="6.6640625" bestFit="1" customWidth="1"/>
    <col min="68" max="68" width="7.44140625" bestFit="1" customWidth="1"/>
    <col min="69" max="69" width="6.88671875" bestFit="1" customWidth="1"/>
    <col min="70" max="70" width="7.44140625" bestFit="1" customWidth="1"/>
    <col min="71" max="71" width="9.33203125" bestFit="1" customWidth="1"/>
    <col min="72" max="72" width="6.21875" bestFit="1" customWidth="1"/>
    <col min="73" max="73" width="6.109375" bestFit="1" customWidth="1"/>
    <col min="74" max="74" width="5.6640625" bestFit="1" customWidth="1"/>
    <col min="75" max="75" width="5.21875" bestFit="1" customWidth="1"/>
    <col min="76" max="76" width="7.44140625" bestFit="1" customWidth="1"/>
    <col min="77" max="77" width="6" bestFit="1" customWidth="1"/>
    <col min="78" max="78" width="6.88671875" bestFit="1" customWidth="1"/>
    <col min="79" max="79" width="5.5546875" bestFit="1" customWidth="1"/>
    <col min="80" max="80" width="7.109375" bestFit="1" customWidth="1"/>
    <col min="81" max="82" width="5.77734375" bestFit="1" customWidth="1"/>
    <col min="83" max="83" width="11" bestFit="1" customWidth="1"/>
    <col min="84" max="92" width="6.5546875" bestFit="1" customWidth="1"/>
    <col min="93" max="93" width="11" bestFit="1" customWidth="1"/>
    <col min="94" max="94" width="11.109375" bestFit="1" customWidth="1"/>
    <col min="95" max="95" width="9.44140625" bestFit="1" customWidth="1"/>
    <col min="96" max="96" width="12.109375" bestFit="1" customWidth="1"/>
    <col min="97" max="97" width="9.77734375" bestFit="1" customWidth="1"/>
    <col min="98" max="98" width="12.44140625" bestFit="1" customWidth="1"/>
    <col min="99" max="99" width="9.5546875" bestFit="1" customWidth="1"/>
    <col min="100" max="100" width="12.21875" bestFit="1" customWidth="1"/>
    <col min="101" max="101" width="9.44140625" bestFit="1" customWidth="1"/>
    <col min="102" max="102" width="12.109375" bestFit="1" customWidth="1"/>
    <col min="103" max="103" width="10.109375" bestFit="1" customWidth="1"/>
    <col min="104" max="104" width="12.109375" bestFit="1" customWidth="1"/>
    <col min="105" max="105" width="8.6640625" bestFit="1" customWidth="1"/>
    <col min="106" max="106" width="4.88671875" bestFit="1" customWidth="1"/>
    <col min="107" max="107" width="10.109375" bestFit="1" customWidth="1"/>
    <col min="108" max="108" width="11.44140625" bestFit="1" customWidth="1"/>
    <col min="109" max="109" width="10.33203125" bestFit="1" customWidth="1"/>
    <col min="110" max="110" width="10" bestFit="1" customWidth="1"/>
    <col min="111" max="111" width="11.5546875" bestFit="1" customWidth="1"/>
    <col min="112" max="112" width="10.109375" bestFit="1" customWidth="1"/>
    <col min="113" max="113" width="8.6640625" bestFit="1" customWidth="1"/>
    <col min="114" max="114" width="11.33203125" bestFit="1" customWidth="1"/>
    <col min="115" max="115" width="6.33203125" bestFit="1" customWidth="1"/>
    <col min="116" max="116" width="12.5546875" bestFit="1" customWidth="1"/>
    <col min="117" max="117" width="8" bestFit="1" customWidth="1"/>
    <col min="118" max="118" width="10.5546875" bestFit="1" customWidth="1"/>
    <col min="119" max="119" width="8.6640625" bestFit="1" customWidth="1"/>
    <col min="120" max="120" width="9.88671875" bestFit="1" customWidth="1"/>
    <col min="121" max="121" width="10" bestFit="1" customWidth="1"/>
    <col min="122" max="122" width="8.6640625" bestFit="1" customWidth="1"/>
    <col min="123" max="123" width="7.109375" bestFit="1" customWidth="1"/>
    <col min="124" max="124" width="4.88671875" bestFit="1" customWidth="1"/>
    <col min="125" max="125" width="12" bestFit="1" customWidth="1"/>
    <col min="126" max="126" width="6.33203125" bestFit="1" customWidth="1"/>
    <col min="127" max="127" width="8.33203125" bestFit="1" customWidth="1"/>
    <col min="128" max="128" width="8" bestFit="1" customWidth="1"/>
    <col min="129" max="129" width="11.33203125" bestFit="1" customWidth="1"/>
    <col min="130" max="130" width="10" bestFit="1" customWidth="1"/>
    <col min="131" max="132" width="12" bestFit="1" customWidth="1"/>
    <col min="133" max="133" width="11.33203125" bestFit="1" customWidth="1"/>
    <col min="134" max="134" width="9.77734375" bestFit="1" customWidth="1"/>
    <col min="135" max="135" width="9.6640625" bestFit="1" customWidth="1"/>
    <col min="136" max="136" width="6.33203125" bestFit="1" customWidth="1"/>
    <col min="137" max="137" width="12.33203125" bestFit="1" customWidth="1"/>
    <col min="138" max="138" width="11.44140625" bestFit="1" customWidth="1"/>
    <col min="139" max="139" width="9.5546875" bestFit="1" customWidth="1"/>
    <col min="140" max="140" width="11.44140625" bestFit="1" customWidth="1"/>
    <col min="141" max="141" width="11.109375" bestFit="1" customWidth="1"/>
    <col min="142" max="142" width="8.33203125" bestFit="1" customWidth="1"/>
    <col min="143" max="143" width="11.44140625" bestFit="1" customWidth="1"/>
    <col min="144" max="144" width="11" bestFit="1" customWidth="1"/>
    <col min="145" max="145" width="7.44140625" bestFit="1" customWidth="1"/>
    <col min="146" max="146" width="11.44140625" bestFit="1" customWidth="1"/>
    <col min="147" max="147" width="10.109375" bestFit="1" customWidth="1"/>
    <col min="148" max="149" width="10" bestFit="1" customWidth="1"/>
    <col min="150" max="150" width="9.33203125" bestFit="1" customWidth="1"/>
    <col min="151" max="151" width="12" bestFit="1" customWidth="1"/>
    <col min="152" max="152" width="8.6640625" bestFit="1" customWidth="1"/>
    <col min="153" max="153" width="10.44140625" bestFit="1" customWidth="1"/>
    <col min="154" max="154" width="8.109375" bestFit="1" customWidth="1"/>
    <col min="155" max="155" width="10.77734375" bestFit="1" customWidth="1"/>
    <col min="156" max="156" width="8" bestFit="1" customWidth="1"/>
    <col min="157" max="157" width="10.6640625" bestFit="1" customWidth="1"/>
    <col min="158" max="158" width="8.6640625" bestFit="1" customWidth="1"/>
    <col min="159" max="159" width="11.33203125" bestFit="1" customWidth="1"/>
    <col min="160" max="160" width="9.44140625" bestFit="1" customWidth="1"/>
    <col min="161" max="161" width="12.109375" bestFit="1" customWidth="1"/>
    <col min="162" max="162" width="8.77734375" bestFit="1" customWidth="1"/>
    <col min="163" max="163" width="11.44140625" bestFit="1" customWidth="1"/>
    <col min="164" max="164" width="9.21875" bestFit="1" customWidth="1"/>
    <col min="165" max="165" width="11.88671875" bestFit="1" customWidth="1"/>
    <col min="166" max="166" width="11.44140625" bestFit="1" customWidth="1"/>
    <col min="167" max="167" width="14" bestFit="1" customWidth="1"/>
    <col min="168" max="168" width="8.6640625" bestFit="1" customWidth="1"/>
    <col min="169" max="169" width="4.88671875" bestFit="1" customWidth="1"/>
    <col min="170" max="170" width="10.88671875" bestFit="1" customWidth="1"/>
    <col min="171" max="171" width="8.109375" bestFit="1" customWidth="1"/>
    <col min="172" max="172" width="10.77734375" bestFit="1" customWidth="1"/>
    <col min="173" max="173" width="10.109375" bestFit="1" customWidth="1"/>
    <col min="174" max="174" width="11.44140625" bestFit="1" customWidth="1"/>
    <col min="175" max="175" width="10.33203125" bestFit="1" customWidth="1"/>
    <col min="176" max="176" width="7.109375" bestFit="1" customWidth="1"/>
    <col min="177" max="177" width="6.33203125" bestFit="1" customWidth="1"/>
    <col min="178" max="178" width="9.77734375" bestFit="1" customWidth="1"/>
    <col min="179" max="179" width="10" bestFit="1" customWidth="1"/>
    <col min="180" max="180" width="8.6640625" bestFit="1" customWidth="1"/>
    <col min="181" max="181" width="12.109375" bestFit="1" customWidth="1"/>
    <col min="182" max="182" width="8.6640625" bestFit="1" customWidth="1"/>
    <col min="183" max="183" width="10.5546875" bestFit="1" customWidth="1"/>
    <col min="184" max="184" width="8.77734375" bestFit="1" customWidth="1"/>
    <col min="185" max="185" width="11.44140625" bestFit="1" customWidth="1"/>
    <col min="186" max="186" width="7.44140625" bestFit="1" customWidth="1"/>
    <col min="187" max="187" width="8" bestFit="1" customWidth="1"/>
    <col min="188" max="189" width="10.109375" bestFit="1" customWidth="1"/>
    <col min="190" max="190" width="11.6640625" bestFit="1" customWidth="1"/>
    <col min="191" max="191" width="11.33203125" bestFit="1" customWidth="1"/>
    <col min="192" max="192" width="4.88671875" bestFit="1" customWidth="1"/>
    <col min="193" max="193" width="10.44140625" bestFit="1" customWidth="1"/>
    <col min="194" max="194" width="7.6640625" bestFit="1" customWidth="1"/>
    <col min="195" max="195" width="10.33203125" bestFit="1" customWidth="1"/>
    <col min="196" max="196" width="12" bestFit="1" customWidth="1"/>
  </cols>
  <sheetData>
    <row r="2" spans="2:4" x14ac:dyDescent="0.3">
      <c r="B2" s="1" t="s">
        <v>101</v>
      </c>
    </row>
    <row r="3" spans="2:4" x14ac:dyDescent="0.3">
      <c r="C3" s="6" t="s">
        <v>138</v>
      </c>
      <c r="D3" t="s">
        <v>137</v>
      </c>
    </row>
    <row r="4" spans="2:4" x14ac:dyDescent="0.3">
      <c r="C4" s="7" t="s">
        <v>27</v>
      </c>
      <c r="D4" s="8">
        <v>530</v>
      </c>
    </row>
    <row r="5" spans="2:4" x14ac:dyDescent="0.3">
      <c r="C5" s="7" t="s">
        <v>15</v>
      </c>
      <c r="D5" s="8">
        <v>294</v>
      </c>
    </row>
    <row r="6" spans="2:4" x14ac:dyDescent="0.3">
      <c r="C6" s="7" t="s">
        <v>8</v>
      </c>
      <c r="D6" s="8">
        <v>469</v>
      </c>
    </row>
    <row r="7" spans="2:4" x14ac:dyDescent="0.3">
      <c r="C7" s="7" t="s">
        <v>21</v>
      </c>
      <c r="D7" s="8">
        <v>482</v>
      </c>
    </row>
    <row r="8" spans="2:4" x14ac:dyDescent="0.3">
      <c r="C8" s="7" t="s">
        <v>139</v>
      </c>
      <c r="D8" s="8">
        <v>1775</v>
      </c>
    </row>
    <row r="11" spans="2:4" x14ac:dyDescent="0.3">
      <c r="B11" t="s">
        <v>102</v>
      </c>
    </row>
    <row r="12" spans="2:4" x14ac:dyDescent="0.3">
      <c r="C12" t="s">
        <v>141</v>
      </c>
    </row>
    <row r="13" spans="2:4" x14ac:dyDescent="0.3">
      <c r="C13" s="9">
        <v>504.36585365853659</v>
      </c>
    </row>
    <row r="16" spans="2:4" x14ac:dyDescent="0.3">
      <c r="B16" s="2" t="s">
        <v>103</v>
      </c>
    </row>
    <row r="17" spans="2:4" x14ac:dyDescent="0.3">
      <c r="C17" t="s">
        <v>142</v>
      </c>
    </row>
    <row r="18" spans="2:4" x14ac:dyDescent="0.3">
      <c r="C18" s="8">
        <v>610</v>
      </c>
    </row>
    <row r="21" spans="2:4" x14ac:dyDescent="0.3">
      <c r="B21" s="2" t="s">
        <v>104</v>
      </c>
    </row>
    <row r="22" spans="2:4" x14ac:dyDescent="0.3">
      <c r="C22" s="6" t="s">
        <v>138</v>
      </c>
      <c r="D22" t="s">
        <v>144</v>
      </c>
    </row>
    <row r="23" spans="2:4" x14ac:dyDescent="0.3">
      <c r="C23" s="7" t="s">
        <v>14</v>
      </c>
      <c r="D23" s="8">
        <v>67844</v>
      </c>
    </row>
    <row r="24" spans="2:4" x14ac:dyDescent="0.3">
      <c r="C24" s="7" t="s">
        <v>139</v>
      </c>
      <c r="D24" s="8">
        <v>67844</v>
      </c>
    </row>
    <row r="27" spans="2:4" x14ac:dyDescent="0.3">
      <c r="B27" s="2" t="s">
        <v>105</v>
      </c>
    </row>
    <row r="28" spans="2:4" x14ac:dyDescent="0.3">
      <c r="C28" s="6" t="s">
        <v>138</v>
      </c>
    </row>
    <row r="29" spans="2:4" x14ac:dyDescent="0.3">
      <c r="C29" s="7" t="s">
        <v>41</v>
      </c>
    </row>
    <row r="30" spans="2:4" x14ac:dyDescent="0.3">
      <c r="C30" s="7" t="s">
        <v>49</v>
      </c>
    </row>
    <row r="31" spans="2:4" x14ac:dyDescent="0.3">
      <c r="C31" s="7" t="s">
        <v>26</v>
      </c>
    </row>
    <row r="32" spans="2:4" x14ac:dyDescent="0.3">
      <c r="C32" s="7" t="s">
        <v>14</v>
      </c>
    </row>
    <row r="33" spans="2:15" x14ac:dyDescent="0.3">
      <c r="C33" s="7" t="s">
        <v>20</v>
      </c>
    </row>
    <row r="34" spans="2:15" x14ac:dyDescent="0.3">
      <c r="C34" s="7" t="s">
        <v>59</v>
      </c>
    </row>
    <row r="35" spans="2:15" x14ac:dyDescent="0.3">
      <c r="C35" s="7" t="s">
        <v>37</v>
      </c>
    </row>
    <row r="36" spans="2:15" x14ac:dyDescent="0.3">
      <c r="C36" s="7" t="s">
        <v>32</v>
      </c>
    </row>
    <row r="37" spans="2:15" x14ac:dyDescent="0.3">
      <c r="C37" s="7" t="s">
        <v>7</v>
      </c>
    </row>
    <row r="38" spans="2:15" x14ac:dyDescent="0.3">
      <c r="C38" s="7" t="s">
        <v>54</v>
      </c>
    </row>
    <row r="39" spans="2:15" x14ac:dyDescent="0.3">
      <c r="C39" s="7" t="s">
        <v>45</v>
      </c>
    </row>
    <row r="40" spans="2:15" x14ac:dyDescent="0.3">
      <c r="C40" s="7" t="s">
        <v>139</v>
      </c>
    </row>
    <row r="43" spans="2:15" x14ac:dyDescent="0.3">
      <c r="B43" s="2" t="s">
        <v>106</v>
      </c>
    </row>
    <row r="44" spans="2:15" x14ac:dyDescent="0.3">
      <c r="C44" s="6" t="s">
        <v>145</v>
      </c>
      <c r="D44" s="6" t="s">
        <v>146</v>
      </c>
    </row>
    <row r="45" spans="2:15" x14ac:dyDescent="0.3">
      <c r="C45" s="6" t="s">
        <v>138</v>
      </c>
      <c r="D45" t="s">
        <v>41</v>
      </c>
      <c r="E45" t="s">
        <v>49</v>
      </c>
      <c r="F45" t="s">
        <v>26</v>
      </c>
      <c r="G45" t="s">
        <v>14</v>
      </c>
      <c r="H45" t="s">
        <v>20</v>
      </c>
      <c r="I45" t="s">
        <v>59</v>
      </c>
      <c r="J45" t="s">
        <v>37</v>
      </c>
      <c r="K45" t="s">
        <v>32</v>
      </c>
      <c r="L45" t="s">
        <v>7</v>
      </c>
      <c r="M45" t="s">
        <v>54</v>
      </c>
      <c r="N45" t="s">
        <v>45</v>
      </c>
      <c r="O45" t="s">
        <v>139</v>
      </c>
    </row>
    <row r="46" spans="2:15" x14ac:dyDescent="0.3">
      <c r="C46" s="7" t="s">
        <v>82</v>
      </c>
      <c r="D46" s="8"/>
      <c r="E46" s="8">
        <v>16</v>
      </c>
      <c r="F46" s="8"/>
      <c r="G46" s="8"/>
      <c r="H46" s="8"/>
      <c r="I46" s="8"/>
      <c r="J46" s="8"/>
      <c r="K46" s="8"/>
      <c r="L46" s="8"/>
      <c r="M46" s="8"/>
      <c r="N46" s="8"/>
      <c r="O46" s="8">
        <v>16</v>
      </c>
    </row>
    <row r="47" spans="2:15" x14ac:dyDescent="0.3">
      <c r="C47" s="7" t="s">
        <v>9</v>
      </c>
      <c r="D47" s="8"/>
      <c r="E47" s="8"/>
      <c r="F47" s="8">
        <v>9</v>
      </c>
      <c r="G47" s="8"/>
      <c r="H47" s="8"/>
      <c r="I47" s="8"/>
      <c r="J47" s="8"/>
      <c r="K47" s="8"/>
      <c r="L47" s="8">
        <v>15</v>
      </c>
      <c r="M47" s="8"/>
      <c r="N47" s="8"/>
      <c r="O47" s="8">
        <v>12</v>
      </c>
    </row>
    <row r="48" spans="2:15" x14ac:dyDescent="0.3">
      <c r="C48" s="7" t="s">
        <v>93</v>
      </c>
      <c r="D48" s="8"/>
      <c r="E48" s="8"/>
      <c r="F48" s="8">
        <v>15</v>
      </c>
      <c r="G48" s="8"/>
      <c r="H48" s="8"/>
      <c r="I48" s="8"/>
      <c r="J48" s="8"/>
      <c r="K48" s="8"/>
      <c r="L48" s="8"/>
      <c r="M48" s="8"/>
      <c r="N48" s="8"/>
      <c r="O48" s="8">
        <v>15</v>
      </c>
    </row>
    <row r="49" spans="3:15" x14ac:dyDescent="0.3">
      <c r="C49" s="7" t="s">
        <v>10</v>
      </c>
      <c r="D49" s="8"/>
      <c r="E49" s="8"/>
      <c r="F49" s="8"/>
      <c r="G49" s="8"/>
      <c r="H49" s="8"/>
      <c r="I49" s="8"/>
      <c r="J49" s="8"/>
      <c r="K49" s="8"/>
      <c r="L49" s="8">
        <v>20</v>
      </c>
      <c r="M49" s="8"/>
      <c r="N49" s="8"/>
      <c r="O49" s="8">
        <v>20</v>
      </c>
    </row>
    <row r="50" spans="3:15" x14ac:dyDescent="0.3">
      <c r="C50" s="7" t="s">
        <v>38</v>
      </c>
      <c r="D50" s="8"/>
      <c r="E50" s="8"/>
      <c r="F50" s="8"/>
      <c r="G50" s="8"/>
      <c r="H50" s="8"/>
      <c r="I50" s="8"/>
      <c r="J50" s="8">
        <v>10</v>
      </c>
      <c r="K50" s="8"/>
      <c r="L50" s="8"/>
      <c r="M50" s="8"/>
      <c r="N50" s="8"/>
      <c r="O50" s="8">
        <v>10</v>
      </c>
    </row>
    <row r="51" spans="3:15" x14ac:dyDescent="0.3">
      <c r="C51" s="7" t="s">
        <v>43</v>
      </c>
      <c r="D51" s="8">
        <v>25</v>
      </c>
      <c r="E51" s="8"/>
      <c r="F51" s="8"/>
      <c r="G51" s="8">
        <v>10</v>
      </c>
      <c r="H51" s="8"/>
      <c r="I51" s="8"/>
      <c r="J51" s="8"/>
      <c r="K51" s="8"/>
      <c r="L51" s="8"/>
      <c r="M51" s="8"/>
      <c r="N51" s="8"/>
      <c r="O51" s="8">
        <v>17.5</v>
      </c>
    </row>
    <row r="52" spans="3:15" x14ac:dyDescent="0.3">
      <c r="C52" s="7" t="s">
        <v>81</v>
      </c>
      <c r="D52" s="8"/>
      <c r="E52" s="8">
        <v>18.5</v>
      </c>
      <c r="F52" s="8"/>
      <c r="G52" s="8"/>
      <c r="H52" s="8"/>
      <c r="I52" s="8"/>
      <c r="J52" s="8"/>
      <c r="K52" s="8"/>
      <c r="L52" s="8"/>
      <c r="M52" s="8"/>
      <c r="N52" s="8"/>
      <c r="O52" s="8">
        <v>18.5</v>
      </c>
    </row>
    <row r="53" spans="3:15" x14ac:dyDescent="0.3">
      <c r="C53" s="7" t="s">
        <v>11</v>
      </c>
      <c r="D53" s="8"/>
      <c r="E53" s="8"/>
      <c r="F53" s="8"/>
      <c r="G53" s="8"/>
      <c r="H53" s="8">
        <v>20</v>
      </c>
      <c r="I53" s="8"/>
      <c r="J53" s="8"/>
      <c r="K53" s="8"/>
      <c r="L53" s="8">
        <v>18</v>
      </c>
      <c r="M53" s="8"/>
      <c r="N53" s="8"/>
      <c r="O53" s="8">
        <v>19</v>
      </c>
    </row>
    <row r="54" spans="3:15" x14ac:dyDescent="0.3">
      <c r="C54" s="7" t="s">
        <v>64</v>
      </c>
      <c r="D54" s="8"/>
      <c r="E54" s="8"/>
      <c r="F54" s="8"/>
      <c r="G54" s="8">
        <v>15</v>
      </c>
      <c r="H54" s="8"/>
      <c r="I54" s="8"/>
      <c r="J54" s="8"/>
      <c r="K54" s="8"/>
      <c r="L54" s="8"/>
      <c r="M54" s="8"/>
      <c r="N54" s="8"/>
      <c r="O54" s="8">
        <v>15</v>
      </c>
    </row>
    <row r="55" spans="3:15" x14ac:dyDescent="0.3">
      <c r="C55" s="7" t="s">
        <v>55</v>
      </c>
      <c r="D55" s="8"/>
      <c r="E55" s="8"/>
      <c r="F55" s="8"/>
      <c r="G55" s="8"/>
      <c r="H55" s="8"/>
      <c r="I55" s="8"/>
      <c r="J55" s="8">
        <v>10</v>
      </c>
      <c r="K55" s="8">
        <v>15</v>
      </c>
      <c r="L55" s="8"/>
      <c r="M55" s="8">
        <v>12</v>
      </c>
      <c r="N55" s="8"/>
      <c r="O55" s="8">
        <v>12.333333333333334</v>
      </c>
    </row>
    <row r="56" spans="3:15" x14ac:dyDescent="0.3">
      <c r="C56" s="7" t="s">
        <v>71</v>
      </c>
      <c r="D56" s="8"/>
      <c r="E56" s="8"/>
      <c r="F56" s="8">
        <v>9</v>
      </c>
      <c r="G56" s="8"/>
      <c r="H56" s="8"/>
      <c r="I56" s="8"/>
      <c r="J56" s="8"/>
      <c r="K56" s="8"/>
      <c r="L56" s="8"/>
      <c r="M56" s="8"/>
      <c r="N56" s="8"/>
      <c r="O56" s="8">
        <v>9</v>
      </c>
    </row>
    <row r="57" spans="3:15" x14ac:dyDescent="0.3">
      <c r="C57" s="7" t="s">
        <v>98</v>
      </c>
      <c r="D57" s="8"/>
      <c r="E57" s="8"/>
      <c r="F57" s="8"/>
      <c r="G57" s="8"/>
      <c r="H57" s="8">
        <v>15</v>
      </c>
      <c r="I57" s="8"/>
      <c r="J57" s="8"/>
      <c r="K57" s="8"/>
      <c r="L57" s="8"/>
      <c r="M57" s="8"/>
      <c r="N57" s="8"/>
      <c r="O57" s="8">
        <v>15</v>
      </c>
    </row>
    <row r="58" spans="3:15" x14ac:dyDescent="0.3">
      <c r="C58" s="7" t="s">
        <v>83</v>
      </c>
      <c r="D58" s="8"/>
      <c r="E58" s="8">
        <v>15</v>
      </c>
      <c r="F58" s="8"/>
      <c r="G58" s="8"/>
      <c r="H58" s="8"/>
      <c r="I58" s="8"/>
      <c r="J58" s="8"/>
      <c r="K58" s="8"/>
      <c r="L58" s="8"/>
      <c r="M58" s="8"/>
      <c r="N58" s="8"/>
      <c r="O58" s="8">
        <v>15</v>
      </c>
    </row>
    <row r="59" spans="3:15" x14ac:dyDescent="0.3">
      <c r="C59" s="7" t="s">
        <v>39</v>
      </c>
      <c r="D59" s="8"/>
      <c r="E59" s="8"/>
      <c r="F59" s="8"/>
      <c r="G59" s="8"/>
      <c r="H59" s="8"/>
      <c r="I59" s="8"/>
      <c r="J59" s="8">
        <v>11</v>
      </c>
      <c r="K59" s="8">
        <v>16</v>
      </c>
      <c r="L59" s="8"/>
      <c r="M59" s="8"/>
      <c r="N59" s="8"/>
      <c r="O59" s="8">
        <v>13.5</v>
      </c>
    </row>
    <row r="60" spans="3:15" x14ac:dyDescent="0.3">
      <c r="C60" s="7" t="s">
        <v>75</v>
      </c>
      <c r="D60" s="8"/>
      <c r="E60" s="8"/>
      <c r="F60" s="8"/>
      <c r="G60" s="8"/>
      <c r="H60" s="8"/>
      <c r="I60" s="8"/>
      <c r="J60" s="8">
        <v>9</v>
      </c>
      <c r="K60" s="8"/>
      <c r="L60" s="8"/>
      <c r="M60" s="8"/>
      <c r="N60" s="8"/>
      <c r="O60" s="8">
        <v>9</v>
      </c>
    </row>
    <row r="61" spans="3:15" x14ac:dyDescent="0.3">
      <c r="C61" s="7" t="s">
        <v>67</v>
      </c>
      <c r="D61" s="8"/>
      <c r="E61" s="8"/>
      <c r="F61" s="8"/>
      <c r="G61" s="8">
        <v>15</v>
      </c>
      <c r="H61" s="8"/>
      <c r="I61" s="8"/>
      <c r="J61" s="8"/>
      <c r="K61" s="8"/>
      <c r="L61" s="8"/>
      <c r="M61" s="8">
        <v>16</v>
      </c>
      <c r="N61" s="8"/>
      <c r="O61" s="8">
        <v>15.5</v>
      </c>
    </row>
    <row r="62" spans="3:15" x14ac:dyDescent="0.3">
      <c r="C62" s="7" t="s">
        <v>92</v>
      </c>
      <c r="D62" s="8"/>
      <c r="E62" s="8"/>
      <c r="F62" s="8"/>
      <c r="G62" s="8">
        <v>11</v>
      </c>
      <c r="H62" s="8"/>
      <c r="I62" s="8"/>
      <c r="J62" s="8"/>
      <c r="K62" s="8"/>
      <c r="L62" s="8"/>
      <c r="M62" s="8"/>
      <c r="N62" s="8"/>
      <c r="O62" s="8">
        <v>11</v>
      </c>
    </row>
    <row r="63" spans="3:15" x14ac:dyDescent="0.3">
      <c r="C63" s="7" t="s">
        <v>25</v>
      </c>
      <c r="D63" s="8"/>
      <c r="E63" s="8"/>
      <c r="F63" s="8"/>
      <c r="G63" s="8"/>
      <c r="H63" s="8">
        <v>21</v>
      </c>
      <c r="I63" s="8"/>
      <c r="J63" s="8"/>
      <c r="K63" s="8"/>
      <c r="L63" s="8"/>
      <c r="M63" s="8"/>
      <c r="N63" s="8"/>
      <c r="O63" s="8">
        <v>21</v>
      </c>
    </row>
    <row r="64" spans="3:15" x14ac:dyDescent="0.3">
      <c r="C64" s="7" t="s">
        <v>90</v>
      </c>
      <c r="D64" s="8"/>
      <c r="E64" s="8"/>
      <c r="F64" s="8"/>
      <c r="G64" s="8"/>
      <c r="H64" s="8"/>
      <c r="I64" s="8"/>
      <c r="J64" s="8"/>
      <c r="K64" s="8"/>
      <c r="L64" s="8"/>
      <c r="M64" s="8">
        <v>16</v>
      </c>
      <c r="N64" s="8"/>
      <c r="O64" s="8">
        <v>16</v>
      </c>
    </row>
    <row r="65" spans="3:15" x14ac:dyDescent="0.3">
      <c r="C65" s="7" t="s">
        <v>61</v>
      </c>
      <c r="D65" s="8"/>
      <c r="E65" s="8">
        <v>14</v>
      </c>
      <c r="F65" s="8"/>
      <c r="G65" s="8"/>
      <c r="H65" s="8"/>
      <c r="I65" s="8">
        <v>9</v>
      </c>
      <c r="J65" s="8"/>
      <c r="K65" s="8"/>
      <c r="L65" s="8"/>
      <c r="M65" s="8"/>
      <c r="N65" s="8"/>
      <c r="O65" s="8">
        <v>10.666666666666666</v>
      </c>
    </row>
    <row r="66" spans="3:15" x14ac:dyDescent="0.3">
      <c r="C66" s="7" t="s">
        <v>56</v>
      </c>
      <c r="D66" s="8"/>
      <c r="E66" s="8"/>
      <c r="F66" s="8"/>
      <c r="G66" s="8"/>
      <c r="H66" s="8"/>
      <c r="I66" s="8"/>
      <c r="J66" s="8"/>
      <c r="K66" s="8">
        <v>10</v>
      </c>
      <c r="L66" s="8"/>
      <c r="M66" s="8">
        <v>22</v>
      </c>
      <c r="N66" s="8">
        <v>10</v>
      </c>
      <c r="O66" s="8">
        <v>14</v>
      </c>
    </row>
    <row r="67" spans="3:15" x14ac:dyDescent="0.3">
      <c r="C67" s="7" t="s">
        <v>12</v>
      </c>
      <c r="D67" s="8"/>
      <c r="E67" s="8"/>
      <c r="F67" s="8"/>
      <c r="G67" s="8"/>
      <c r="H67" s="8"/>
      <c r="I67" s="8"/>
      <c r="J67" s="8"/>
      <c r="K67" s="8"/>
      <c r="L67" s="8">
        <v>14</v>
      </c>
      <c r="M67" s="8"/>
      <c r="N67" s="8"/>
      <c r="O67" s="8">
        <v>14</v>
      </c>
    </row>
    <row r="68" spans="3:15" x14ac:dyDescent="0.3">
      <c r="C68" s="7" t="s">
        <v>42</v>
      </c>
      <c r="D68" s="8">
        <v>15</v>
      </c>
      <c r="E68" s="8"/>
      <c r="F68" s="8"/>
      <c r="G68" s="8"/>
      <c r="H68" s="8"/>
      <c r="I68" s="8"/>
      <c r="J68" s="8"/>
      <c r="K68" s="8"/>
      <c r="L68" s="8"/>
      <c r="M68" s="8"/>
      <c r="N68" s="8"/>
      <c r="O68" s="8">
        <v>15</v>
      </c>
    </row>
    <row r="69" spans="3:15" x14ac:dyDescent="0.3">
      <c r="C69" s="7" t="s">
        <v>40</v>
      </c>
      <c r="D69" s="8"/>
      <c r="E69" s="8">
        <v>10</v>
      </c>
      <c r="F69" s="8"/>
      <c r="G69" s="8"/>
      <c r="H69" s="8"/>
      <c r="I69" s="8"/>
      <c r="J69" s="8">
        <v>7</v>
      </c>
      <c r="K69" s="8"/>
      <c r="L69" s="8"/>
      <c r="M69" s="8"/>
      <c r="N69" s="8"/>
      <c r="O69" s="8">
        <v>8.5</v>
      </c>
    </row>
    <row r="70" spans="3:15" x14ac:dyDescent="0.3">
      <c r="C70" s="7" t="s">
        <v>94</v>
      </c>
      <c r="D70" s="8"/>
      <c r="E70" s="8"/>
      <c r="F70" s="8"/>
      <c r="G70" s="8"/>
      <c r="H70" s="8"/>
      <c r="I70" s="8"/>
      <c r="J70" s="8"/>
      <c r="K70" s="8">
        <v>9</v>
      </c>
      <c r="L70" s="8"/>
      <c r="M70" s="8"/>
      <c r="N70" s="8"/>
      <c r="O70" s="8">
        <v>9</v>
      </c>
    </row>
    <row r="71" spans="3:15" x14ac:dyDescent="0.3">
      <c r="C71" s="7" t="s">
        <v>44</v>
      </c>
      <c r="D71" s="8">
        <v>11</v>
      </c>
      <c r="E71" s="8">
        <v>17</v>
      </c>
      <c r="F71" s="8">
        <v>15</v>
      </c>
      <c r="G71" s="8"/>
      <c r="H71" s="8"/>
      <c r="I71" s="8"/>
      <c r="J71" s="8"/>
      <c r="K71" s="8"/>
      <c r="L71" s="8"/>
      <c r="M71" s="8"/>
      <c r="N71" s="8"/>
      <c r="O71" s="8">
        <v>14.333333333333334</v>
      </c>
    </row>
    <row r="72" spans="3:15" x14ac:dyDescent="0.3">
      <c r="C72" s="7" t="s">
        <v>13</v>
      </c>
      <c r="D72" s="8"/>
      <c r="E72" s="8"/>
      <c r="F72" s="8"/>
      <c r="G72" s="8"/>
      <c r="H72" s="8"/>
      <c r="I72" s="8"/>
      <c r="J72" s="8"/>
      <c r="K72" s="8"/>
      <c r="L72" s="8">
        <v>16</v>
      </c>
      <c r="M72" s="8"/>
      <c r="N72" s="8"/>
      <c r="O72" s="8">
        <v>16</v>
      </c>
    </row>
    <row r="73" spans="3:15" x14ac:dyDescent="0.3">
      <c r="C73" s="7" t="s">
        <v>87</v>
      </c>
      <c r="D73" s="8"/>
      <c r="E73" s="8"/>
      <c r="F73" s="8"/>
      <c r="G73" s="8"/>
      <c r="H73" s="8"/>
      <c r="I73" s="8"/>
      <c r="J73" s="8"/>
      <c r="K73" s="8"/>
      <c r="L73" s="8"/>
      <c r="M73" s="8">
        <v>18</v>
      </c>
      <c r="N73" s="8"/>
      <c r="O73" s="8">
        <v>18</v>
      </c>
    </row>
    <row r="74" spans="3:15" x14ac:dyDescent="0.3">
      <c r="C74" s="7" t="s">
        <v>58</v>
      </c>
      <c r="D74" s="8"/>
      <c r="E74" s="8"/>
      <c r="F74" s="8"/>
      <c r="G74" s="8"/>
      <c r="H74" s="8"/>
      <c r="I74" s="8"/>
      <c r="J74" s="8"/>
      <c r="K74" s="8"/>
      <c r="L74" s="8"/>
      <c r="M74" s="8">
        <v>14.5</v>
      </c>
      <c r="N74" s="8"/>
      <c r="O74" s="8">
        <v>14.5</v>
      </c>
    </row>
    <row r="75" spans="3:15" x14ac:dyDescent="0.3">
      <c r="C75" s="7" t="s">
        <v>79</v>
      </c>
      <c r="D75" s="8">
        <v>16</v>
      </c>
      <c r="E75" s="8"/>
      <c r="F75" s="8"/>
      <c r="G75" s="8"/>
      <c r="H75" s="8"/>
      <c r="I75" s="8"/>
      <c r="J75" s="8">
        <v>12</v>
      </c>
      <c r="K75" s="8"/>
      <c r="L75" s="8"/>
      <c r="M75" s="8"/>
      <c r="N75" s="8"/>
      <c r="O75" s="8">
        <v>14</v>
      </c>
    </row>
    <row r="76" spans="3:15" x14ac:dyDescent="0.3">
      <c r="C76" s="7" t="s">
        <v>16</v>
      </c>
      <c r="D76" s="8"/>
      <c r="E76" s="8"/>
      <c r="F76" s="8"/>
      <c r="G76" s="8">
        <v>22</v>
      </c>
      <c r="H76" s="8"/>
      <c r="I76" s="8"/>
      <c r="J76" s="8"/>
      <c r="K76" s="8"/>
      <c r="L76" s="8"/>
      <c r="M76" s="8"/>
      <c r="N76" s="8"/>
      <c r="O76" s="8">
        <v>22</v>
      </c>
    </row>
    <row r="77" spans="3:15" x14ac:dyDescent="0.3">
      <c r="C77" s="7" t="s">
        <v>19</v>
      </c>
      <c r="D77" s="8"/>
      <c r="E77" s="8"/>
      <c r="F77" s="8"/>
      <c r="G77" s="8">
        <v>9</v>
      </c>
      <c r="H77" s="8"/>
      <c r="I77" s="8"/>
      <c r="J77" s="8"/>
      <c r="K77" s="8"/>
      <c r="L77" s="8"/>
      <c r="M77" s="8"/>
      <c r="N77" s="8"/>
      <c r="O77" s="8">
        <v>9</v>
      </c>
    </row>
    <row r="78" spans="3:15" x14ac:dyDescent="0.3">
      <c r="C78" s="7" t="s">
        <v>97</v>
      </c>
      <c r="D78" s="8"/>
      <c r="E78" s="8"/>
      <c r="F78" s="8"/>
      <c r="G78" s="8">
        <v>14</v>
      </c>
      <c r="H78" s="8"/>
      <c r="I78" s="8"/>
      <c r="J78" s="8"/>
      <c r="K78" s="8"/>
      <c r="L78" s="8"/>
      <c r="M78" s="8"/>
      <c r="N78" s="8"/>
      <c r="O78" s="8">
        <v>14</v>
      </c>
    </row>
    <row r="79" spans="3:15" x14ac:dyDescent="0.3">
      <c r="C79" s="7" t="s">
        <v>95</v>
      </c>
      <c r="D79" s="8">
        <v>12</v>
      </c>
      <c r="E79" s="8"/>
      <c r="F79" s="8"/>
      <c r="G79" s="8"/>
      <c r="H79" s="8"/>
      <c r="I79" s="8"/>
      <c r="J79" s="8"/>
      <c r="K79" s="8"/>
      <c r="L79" s="8"/>
      <c r="M79" s="8"/>
      <c r="N79" s="8"/>
      <c r="O79" s="8">
        <v>12</v>
      </c>
    </row>
    <row r="80" spans="3:15" x14ac:dyDescent="0.3">
      <c r="C80" s="7" t="s">
        <v>72</v>
      </c>
      <c r="D80" s="8"/>
      <c r="E80" s="8"/>
      <c r="F80" s="8"/>
      <c r="G80" s="8"/>
      <c r="H80" s="8"/>
      <c r="I80" s="8"/>
      <c r="J80" s="8">
        <v>15</v>
      </c>
      <c r="K80" s="8">
        <v>14</v>
      </c>
      <c r="L80" s="8"/>
      <c r="M80" s="8"/>
      <c r="N80" s="8"/>
      <c r="O80" s="8">
        <v>14.5</v>
      </c>
    </row>
    <row r="81" spans="3:15" x14ac:dyDescent="0.3">
      <c r="C81" s="7" t="s">
        <v>51</v>
      </c>
      <c r="D81" s="8">
        <v>8</v>
      </c>
      <c r="E81" s="8">
        <v>15</v>
      </c>
      <c r="F81" s="8">
        <v>8</v>
      </c>
      <c r="G81" s="8"/>
      <c r="H81" s="8"/>
      <c r="I81" s="8"/>
      <c r="J81" s="8"/>
      <c r="K81" s="8"/>
      <c r="L81" s="8"/>
      <c r="M81" s="8"/>
      <c r="N81" s="8"/>
      <c r="O81" s="8">
        <v>10.333333333333334</v>
      </c>
    </row>
    <row r="82" spans="3:15" x14ac:dyDescent="0.3">
      <c r="C82" s="7" t="s">
        <v>22</v>
      </c>
      <c r="D82" s="8"/>
      <c r="E82" s="8"/>
      <c r="F82" s="8"/>
      <c r="G82" s="8"/>
      <c r="H82" s="8">
        <v>11</v>
      </c>
      <c r="I82" s="8"/>
      <c r="J82" s="8"/>
      <c r="K82" s="8"/>
      <c r="L82" s="8"/>
      <c r="M82" s="8"/>
      <c r="N82" s="8"/>
      <c r="O82" s="8">
        <v>11</v>
      </c>
    </row>
    <row r="83" spans="3:15" x14ac:dyDescent="0.3">
      <c r="C83" s="7" t="s">
        <v>62</v>
      </c>
      <c r="D83" s="8"/>
      <c r="E83" s="8"/>
      <c r="F83" s="8"/>
      <c r="G83" s="8"/>
      <c r="H83" s="8"/>
      <c r="I83" s="8">
        <v>12</v>
      </c>
      <c r="J83" s="8"/>
      <c r="K83" s="8"/>
      <c r="L83" s="8"/>
      <c r="M83" s="8"/>
      <c r="N83" s="8"/>
      <c r="O83" s="8">
        <v>12</v>
      </c>
    </row>
    <row r="84" spans="3:15" x14ac:dyDescent="0.3">
      <c r="C84" s="7" t="s">
        <v>91</v>
      </c>
      <c r="D84" s="8"/>
      <c r="E84" s="8"/>
      <c r="F84" s="8"/>
      <c r="G84" s="8"/>
      <c r="H84" s="8"/>
      <c r="I84" s="8">
        <v>19</v>
      </c>
      <c r="J84" s="8"/>
      <c r="K84" s="8"/>
      <c r="L84" s="8"/>
      <c r="M84" s="8"/>
      <c r="N84" s="8"/>
      <c r="O84" s="8">
        <v>19</v>
      </c>
    </row>
    <row r="85" spans="3:15" x14ac:dyDescent="0.3">
      <c r="C85" s="7" t="s">
        <v>28</v>
      </c>
      <c r="D85" s="8"/>
      <c r="E85" s="8"/>
      <c r="F85" s="8">
        <v>17</v>
      </c>
      <c r="G85" s="8"/>
      <c r="H85" s="8"/>
      <c r="I85" s="8"/>
      <c r="J85" s="8"/>
      <c r="K85" s="8"/>
      <c r="L85" s="8"/>
      <c r="M85" s="8"/>
      <c r="N85" s="8"/>
      <c r="O85" s="8">
        <v>17</v>
      </c>
    </row>
    <row r="86" spans="3:15" x14ac:dyDescent="0.3">
      <c r="C86" s="7" t="s">
        <v>47</v>
      </c>
      <c r="D86" s="8"/>
      <c r="E86" s="8"/>
      <c r="F86" s="8"/>
      <c r="G86" s="8"/>
      <c r="H86" s="8"/>
      <c r="I86" s="8"/>
      <c r="J86" s="8"/>
      <c r="K86" s="8"/>
      <c r="L86" s="8"/>
      <c r="M86" s="8"/>
      <c r="N86" s="8">
        <v>13</v>
      </c>
      <c r="O86" s="8">
        <v>13</v>
      </c>
    </row>
    <row r="87" spans="3:15" x14ac:dyDescent="0.3">
      <c r="C87" s="7" t="s">
        <v>77</v>
      </c>
      <c r="D87" s="8">
        <v>9.5</v>
      </c>
      <c r="E87" s="8"/>
      <c r="F87" s="8"/>
      <c r="G87" s="8"/>
      <c r="H87" s="8"/>
      <c r="I87" s="8"/>
      <c r="J87" s="8"/>
      <c r="K87" s="8"/>
      <c r="L87" s="8"/>
      <c r="M87" s="8"/>
      <c r="N87" s="8"/>
      <c r="O87" s="8">
        <v>9.5</v>
      </c>
    </row>
    <row r="88" spans="3:15" x14ac:dyDescent="0.3">
      <c r="C88" s="7" t="s">
        <v>85</v>
      </c>
      <c r="D88" s="8"/>
      <c r="E88" s="8"/>
      <c r="F88" s="8"/>
      <c r="G88" s="8"/>
      <c r="H88" s="8">
        <v>10</v>
      </c>
      <c r="I88" s="8"/>
      <c r="J88" s="8"/>
      <c r="K88" s="8"/>
      <c r="L88" s="8"/>
      <c r="M88" s="8"/>
      <c r="N88" s="8">
        <v>9</v>
      </c>
      <c r="O88" s="8">
        <v>9.5</v>
      </c>
    </row>
    <row r="89" spans="3:15" x14ac:dyDescent="0.3">
      <c r="C89" s="7" t="s">
        <v>33</v>
      </c>
      <c r="D89" s="8"/>
      <c r="E89" s="8"/>
      <c r="F89" s="8"/>
      <c r="G89" s="8"/>
      <c r="H89" s="8"/>
      <c r="I89" s="8"/>
      <c r="J89" s="8"/>
      <c r="K89" s="8">
        <v>13</v>
      </c>
      <c r="L89" s="8"/>
      <c r="M89" s="8"/>
      <c r="N89" s="8"/>
      <c r="O89" s="8">
        <v>13</v>
      </c>
    </row>
    <row r="90" spans="3:15" x14ac:dyDescent="0.3">
      <c r="C90" s="7" t="s">
        <v>17</v>
      </c>
      <c r="D90" s="8"/>
      <c r="E90" s="8"/>
      <c r="F90" s="8"/>
      <c r="G90" s="8">
        <v>19</v>
      </c>
      <c r="H90" s="8"/>
      <c r="I90" s="8"/>
      <c r="J90" s="8"/>
      <c r="K90" s="8"/>
      <c r="L90" s="8"/>
      <c r="M90" s="8"/>
      <c r="N90" s="8"/>
      <c r="O90" s="8">
        <v>19</v>
      </c>
    </row>
    <row r="91" spans="3:15" x14ac:dyDescent="0.3">
      <c r="C91" s="7" t="s">
        <v>68</v>
      </c>
      <c r="D91" s="8">
        <v>14</v>
      </c>
      <c r="E91" s="8"/>
      <c r="F91" s="8"/>
      <c r="G91" s="8"/>
      <c r="H91" s="8">
        <v>16</v>
      </c>
      <c r="I91" s="8"/>
      <c r="J91" s="8">
        <v>18</v>
      </c>
      <c r="K91" s="8"/>
      <c r="L91" s="8"/>
      <c r="M91" s="8">
        <v>10</v>
      </c>
      <c r="N91" s="8"/>
      <c r="O91" s="8">
        <v>14.5</v>
      </c>
    </row>
    <row r="92" spans="3:15" x14ac:dyDescent="0.3">
      <c r="C92" s="7" t="s">
        <v>31</v>
      </c>
      <c r="D92" s="8"/>
      <c r="E92" s="8"/>
      <c r="F92" s="8">
        <v>23</v>
      </c>
      <c r="G92" s="8"/>
      <c r="H92" s="8"/>
      <c r="I92" s="8"/>
      <c r="J92" s="8"/>
      <c r="K92" s="8"/>
      <c r="L92" s="8"/>
      <c r="M92" s="8"/>
      <c r="N92" s="8"/>
      <c r="O92" s="8">
        <v>23</v>
      </c>
    </row>
    <row r="93" spans="3:15" x14ac:dyDescent="0.3">
      <c r="C93" s="7" t="s">
        <v>23</v>
      </c>
      <c r="D93" s="8"/>
      <c r="E93" s="8"/>
      <c r="F93" s="8"/>
      <c r="G93" s="8"/>
      <c r="H93" s="8">
        <v>26</v>
      </c>
      <c r="I93" s="8"/>
      <c r="J93" s="8"/>
      <c r="K93" s="8"/>
      <c r="L93" s="8"/>
      <c r="M93" s="8"/>
      <c r="N93" s="8"/>
      <c r="O93" s="8">
        <v>26</v>
      </c>
    </row>
    <row r="94" spans="3:15" x14ac:dyDescent="0.3">
      <c r="C94" s="7" t="s">
        <v>65</v>
      </c>
      <c r="D94" s="8"/>
      <c r="E94" s="8"/>
      <c r="F94" s="8"/>
      <c r="G94" s="8">
        <v>11.5</v>
      </c>
      <c r="H94" s="8">
        <v>14</v>
      </c>
      <c r="I94" s="8">
        <v>19</v>
      </c>
      <c r="J94" s="8"/>
      <c r="K94" s="8"/>
      <c r="L94" s="8"/>
      <c r="M94" s="8"/>
      <c r="N94" s="8">
        <v>13</v>
      </c>
      <c r="O94" s="8">
        <v>13.666666666666666</v>
      </c>
    </row>
    <row r="95" spans="3:15" x14ac:dyDescent="0.3">
      <c r="C95" s="7" t="s">
        <v>57</v>
      </c>
      <c r="D95" s="8"/>
      <c r="E95" s="8"/>
      <c r="F95" s="8"/>
      <c r="G95" s="8"/>
      <c r="H95" s="8"/>
      <c r="I95" s="8"/>
      <c r="J95" s="8"/>
      <c r="K95" s="8"/>
      <c r="L95" s="8"/>
      <c r="M95" s="8">
        <v>19</v>
      </c>
      <c r="N95" s="8"/>
      <c r="O95" s="8">
        <v>19</v>
      </c>
    </row>
    <row r="96" spans="3:15" x14ac:dyDescent="0.3">
      <c r="C96" s="7" t="s">
        <v>70</v>
      </c>
      <c r="D96" s="8"/>
      <c r="E96" s="8"/>
      <c r="F96" s="8">
        <v>20</v>
      </c>
      <c r="G96" s="8"/>
      <c r="H96" s="8"/>
      <c r="I96" s="8"/>
      <c r="J96" s="8">
        <v>20</v>
      </c>
      <c r="K96" s="8"/>
      <c r="L96" s="8"/>
      <c r="M96" s="8"/>
      <c r="N96" s="8"/>
      <c r="O96" s="8">
        <v>20</v>
      </c>
    </row>
    <row r="97" spans="3:15" x14ac:dyDescent="0.3">
      <c r="C97" s="7" t="s">
        <v>60</v>
      </c>
      <c r="D97" s="8"/>
      <c r="E97" s="8"/>
      <c r="F97" s="8"/>
      <c r="G97" s="8"/>
      <c r="H97" s="8"/>
      <c r="I97" s="8">
        <v>16.333333333333332</v>
      </c>
      <c r="J97" s="8"/>
      <c r="K97" s="8"/>
      <c r="L97" s="8"/>
      <c r="M97" s="8"/>
      <c r="N97" s="8"/>
      <c r="O97" s="8">
        <v>16.333333333333332</v>
      </c>
    </row>
    <row r="98" spans="3:15" x14ac:dyDescent="0.3">
      <c r="C98" s="7" t="s">
        <v>74</v>
      </c>
      <c r="D98" s="8"/>
      <c r="E98" s="8"/>
      <c r="F98" s="8"/>
      <c r="G98" s="8"/>
      <c r="H98" s="8"/>
      <c r="I98" s="8"/>
      <c r="J98" s="8">
        <v>16</v>
      </c>
      <c r="K98" s="8"/>
      <c r="L98" s="8"/>
      <c r="M98" s="8"/>
      <c r="N98" s="8"/>
      <c r="O98" s="8">
        <v>16</v>
      </c>
    </row>
    <row r="99" spans="3:15" x14ac:dyDescent="0.3">
      <c r="C99" s="7" t="s">
        <v>29</v>
      </c>
      <c r="D99" s="8"/>
      <c r="E99" s="8"/>
      <c r="F99" s="8">
        <v>8</v>
      </c>
      <c r="G99" s="8"/>
      <c r="H99" s="8"/>
      <c r="I99" s="8"/>
      <c r="J99" s="8"/>
      <c r="K99" s="8"/>
      <c r="L99" s="8"/>
      <c r="M99" s="8">
        <v>11</v>
      </c>
      <c r="N99" s="8"/>
      <c r="O99" s="8">
        <v>9.5</v>
      </c>
    </row>
    <row r="100" spans="3:15" x14ac:dyDescent="0.3">
      <c r="C100" s="7" t="s">
        <v>36</v>
      </c>
      <c r="D100" s="8"/>
      <c r="E100" s="8"/>
      <c r="F100" s="8"/>
      <c r="G100" s="8"/>
      <c r="H100" s="8"/>
      <c r="I100" s="8"/>
      <c r="J100" s="8"/>
      <c r="K100" s="8">
        <v>19</v>
      </c>
      <c r="L100" s="8"/>
      <c r="M100" s="8"/>
      <c r="N100" s="8"/>
      <c r="O100" s="8">
        <v>19</v>
      </c>
    </row>
    <row r="101" spans="3:15" x14ac:dyDescent="0.3">
      <c r="C101" s="7" t="s">
        <v>34</v>
      </c>
      <c r="D101" s="8"/>
      <c r="E101" s="8"/>
      <c r="F101" s="8"/>
      <c r="G101" s="8"/>
      <c r="H101" s="8"/>
      <c r="I101" s="8"/>
      <c r="J101" s="8"/>
      <c r="K101" s="8">
        <v>15</v>
      </c>
      <c r="L101" s="8"/>
      <c r="M101" s="8"/>
      <c r="N101" s="8"/>
      <c r="O101" s="8">
        <v>15</v>
      </c>
    </row>
    <row r="102" spans="3:15" x14ac:dyDescent="0.3">
      <c r="C102" s="7" t="s">
        <v>73</v>
      </c>
      <c r="D102" s="8"/>
      <c r="E102" s="8"/>
      <c r="F102" s="8">
        <v>11</v>
      </c>
      <c r="G102" s="8"/>
      <c r="H102" s="8"/>
      <c r="I102" s="8"/>
      <c r="J102" s="8"/>
      <c r="K102" s="8">
        <v>11</v>
      </c>
      <c r="L102" s="8"/>
      <c r="M102" s="8"/>
      <c r="N102" s="8"/>
      <c r="O102" s="8">
        <v>11</v>
      </c>
    </row>
    <row r="103" spans="3:15" x14ac:dyDescent="0.3">
      <c r="C103" s="7" t="s">
        <v>52</v>
      </c>
      <c r="D103" s="8"/>
      <c r="E103" s="8">
        <v>28</v>
      </c>
      <c r="F103" s="8"/>
      <c r="G103" s="8"/>
      <c r="H103" s="8"/>
      <c r="I103" s="8"/>
      <c r="J103" s="8"/>
      <c r="K103" s="8">
        <v>8</v>
      </c>
      <c r="L103" s="8"/>
      <c r="M103" s="8"/>
      <c r="N103" s="8"/>
      <c r="O103" s="8">
        <v>18</v>
      </c>
    </row>
    <row r="104" spans="3:15" x14ac:dyDescent="0.3">
      <c r="C104" s="7" t="s">
        <v>18</v>
      </c>
      <c r="D104" s="8"/>
      <c r="E104" s="8"/>
      <c r="F104" s="8"/>
      <c r="G104" s="8">
        <v>12</v>
      </c>
      <c r="H104" s="8"/>
      <c r="I104" s="8"/>
      <c r="J104" s="8"/>
      <c r="K104" s="8"/>
      <c r="L104" s="8"/>
      <c r="M104" s="8"/>
      <c r="N104" s="8"/>
      <c r="O104" s="8">
        <v>12</v>
      </c>
    </row>
    <row r="105" spans="3:15" x14ac:dyDescent="0.3">
      <c r="C105" s="7" t="s">
        <v>88</v>
      </c>
      <c r="D105" s="8"/>
      <c r="E105" s="8"/>
      <c r="F105" s="8"/>
      <c r="G105" s="8"/>
      <c r="H105" s="8"/>
      <c r="I105" s="8"/>
      <c r="J105" s="8"/>
      <c r="K105" s="8"/>
      <c r="L105" s="8"/>
      <c r="M105" s="8">
        <v>16</v>
      </c>
      <c r="N105" s="8"/>
      <c r="O105" s="8">
        <v>16</v>
      </c>
    </row>
    <row r="106" spans="3:15" x14ac:dyDescent="0.3">
      <c r="C106" s="7" t="s">
        <v>24</v>
      </c>
      <c r="D106" s="8"/>
      <c r="E106" s="8"/>
      <c r="F106" s="8"/>
      <c r="G106" s="8"/>
      <c r="H106" s="8">
        <v>28</v>
      </c>
      <c r="I106" s="8"/>
      <c r="J106" s="8"/>
      <c r="K106" s="8"/>
      <c r="L106" s="8"/>
      <c r="M106" s="8"/>
      <c r="N106" s="8"/>
      <c r="O106" s="8">
        <v>28</v>
      </c>
    </row>
    <row r="107" spans="3:15" x14ac:dyDescent="0.3">
      <c r="C107" s="7" t="s">
        <v>96</v>
      </c>
      <c r="D107" s="8"/>
      <c r="E107" s="8"/>
      <c r="F107" s="8"/>
      <c r="G107" s="8"/>
      <c r="H107" s="8"/>
      <c r="I107" s="8">
        <v>13</v>
      </c>
      <c r="J107" s="8"/>
      <c r="K107" s="8"/>
      <c r="L107" s="8"/>
      <c r="M107" s="8"/>
      <c r="N107" s="8"/>
      <c r="O107" s="8">
        <v>13</v>
      </c>
    </row>
    <row r="108" spans="3:15" x14ac:dyDescent="0.3">
      <c r="C108" s="7" t="s">
        <v>63</v>
      </c>
      <c r="D108" s="8"/>
      <c r="E108" s="8"/>
      <c r="F108" s="8"/>
      <c r="G108" s="8"/>
      <c r="H108" s="8"/>
      <c r="I108" s="8">
        <v>12</v>
      </c>
      <c r="J108" s="8"/>
      <c r="K108" s="8"/>
      <c r="L108" s="8"/>
      <c r="M108" s="8"/>
      <c r="N108" s="8"/>
      <c r="O108" s="8">
        <v>12</v>
      </c>
    </row>
    <row r="109" spans="3:15" x14ac:dyDescent="0.3">
      <c r="C109" s="7" t="s">
        <v>89</v>
      </c>
      <c r="D109" s="8"/>
      <c r="E109" s="8"/>
      <c r="F109" s="8"/>
      <c r="G109" s="8"/>
      <c r="H109" s="8"/>
      <c r="I109" s="8"/>
      <c r="J109" s="8"/>
      <c r="K109" s="8"/>
      <c r="L109" s="8"/>
      <c r="M109" s="8">
        <v>10</v>
      </c>
      <c r="N109" s="8"/>
      <c r="O109" s="8">
        <v>10</v>
      </c>
    </row>
    <row r="110" spans="3:15" x14ac:dyDescent="0.3">
      <c r="C110" s="7" t="s">
        <v>48</v>
      </c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>
        <v>15</v>
      </c>
      <c r="O110" s="8">
        <v>15</v>
      </c>
    </row>
    <row r="111" spans="3:15" x14ac:dyDescent="0.3">
      <c r="C111" s="7" t="s">
        <v>30</v>
      </c>
      <c r="D111" s="8"/>
      <c r="E111" s="8"/>
      <c r="F111" s="8">
        <v>14</v>
      </c>
      <c r="G111" s="8"/>
      <c r="H111" s="8"/>
      <c r="I111" s="8"/>
      <c r="J111" s="8"/>
      <c r="K111" s="8"/>
      <c r="L111" s="8"/>
      <c r="M111" s="8"/>
      <c r="N111" s="8"/>
      <c r="O111" s="8">
        <v>14</v>
      </c>
    </row>
    <row r="112" spans="3:15" x14ac:dyDescent="0.3">
      <c r="C112" s="7" t="s">
        <v>84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>
        <v>12</v>
      </c>
      <c r="O112" s="8">
        <v>12</v>
      </c>
    </row>
    <row r="113" spans="3:15" x14ac:dyDescent="0.3">
      <c r="C113" s="7" t="s">
        <v>35</v>
      </c>
      <c r="D113" s="8"/>
      <c r="E113" s="8"/>
      <c r="F113" s="8"/>
      <c r="G113" s="8"/>
      <c r="H113" s="8"/>
      <c r="I113" s="8"/>
      <c r="J113" s="8"/>
      <c r="K113" s="8">
        <v>21</v>
      </c>
      <c r="L113" s="8"/>
      <c r="M113" s="8"/>
      <c r="N113" s="8"/>
      <c r="O113" s="8">
        <v>21</v>
      </c>
    </row>
    <row r="114" spans="3:15" x14ac:dyDescent="0.3">
      <c r="C114" s="7" t="s">
        <v>69</v>
      </c>
      <c r="D114" s="8"/>
      <c r="E114" s="8"/>
      <c r="F114" s="8"/>
      <c r="G114" s="8"/>
      <c r="H114" s="8">
        <v>17</v>
      </c>
      <c r="I114" s="8"/>
      <c r="J114" s="8"/>
      <c r="K114" s="8"/>
      <c r="L114" s="8"/>
      <c r="M114" s="8"/>
      <c r="N114" s="8">
        <v>18</v>
      </c>
      <c r="O114" s="8">
        <v>17.5</v>
      </c>
    </row>
    <row r="115" spans="3:15" x14ac:dyDescent="0.3">
      <c r="C115" s="7" t="s">
        <v>86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>
        <v>15</v>
      </c>
      <c r="O115" s="8">
        <v>15</v>
      </c>
    </row>
    <row r="116" spans="3:15" x14ac:dyDescent="0.3">
      <c r="C116" s="7" t="s">
        <v>80</v>
      </c>
      <c r="D116" s="8">
        <v>18</v>
      </c>
      <c r="E116" s="8"/>
      <c r="F116" s="8"/>
      <c r="G116" s="8"/>
      <c r="H116" s="8"/>
      <c r="I116" s="8"/>
      <c r="J116" s="8"/>
      <c r="K116" s="8">
        <v>15</v>
      </c>
      <c r="L116" s="8"/>
      <c r="M116" s="8"/>
      <c r="N116" s="8"/>
      <c r="O116" s="8">
        <v>16.5</v>
      </c>
    </row>
    <row r="117" spans="3:15" x14ac:dyDescent="0.3">
      <c r="C117" s="7" t="s">
        <v>50</v>
      </c>
      <c r="D117" s="8"/>
      <c r="E117" s="8">
        <v>20</v>
      </c>
      <c r="F117" s="8"/>
      <c r="G117" s="8"/>
      <c r="H117" s="8"/>
      <c r="I117" s="8"/>
      <c r="J117" s="8"/>
      <c r="K117" s="8"/>
      <c r="L117" s="8"/>
      <c r="M117" s="8">
        <v>21</v>
      </c>
      <c r="N117" s="8"/>
      <c r="O117" s="8">
        <v>20.5</v>
      </c>
    </row>
    <row r="118" spans="3:15" x14ac:dyDescent="0.3">
      <c r="C118" s="7" t="s">
        <v>66</v>
      </c>
      <c r="D118" s="8"/>
      <c r="E118" s="8"/>
      <c r="F118" s="8"/>
      <c r="G118" s="8">
        <v>9</v>
      </c>
      <c r="H118" s="8">
        <v>19</v>
      </c>
      <c r="I118" s="8"/>
      <c r="J118" s="8"/>
      <c r="K118" s="8"/>
      <c r="L118" s="8"/>
      <c r="M118" s="8"/>
      <c r="N118" s="8"/>
      <c r="O118" s="8">
        <v>14</v>
      </c>
    </row>
    <row r="119" spans="3:15" x14ac:dyDescent="0.3">
      <c r="C119" s="7" t="s">
        <v>100</v>
      </c>
      <c r="D119" s="8"/>
      <c r="E119" s="8"/>
      <c r="F119" s="8"/>
      <c r="G119" s="8"/>
      <c r="H119" s="8">
        <v>15</v>
      </c>
      <c r="I119" s="8"/>
      <c r="J119" s="8"/>
      <c r="K119" s="8"/>
      <c r="L119" s="8"/>
      <c r="M119" s="8"/>
      <c r="N119" s="8"/>
      <c r="O119" s="8">
        <v>15</v>
      </c>
    </row>
    <row r="120" spans="3:15" x14ac:dyDescent="0.3">
      <c r="C120" s="7" t="s">
        <v>46</v>
      </c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>
        <v>8</v>
      </c>
      <c r="O120" s="8">
        <v>8</v>
      </c>
    </row>
    <row r="121" spans="3:15" x14ac:dyDescent="0.3">
      <c r="C121" s="7" t="s">
        <v>53</v>
      </c>
      <c r="D121" s="8"/>
      <c r="E121" s="8">
        <v>10</v>
      </c>
      <c r="F121" s="8">
        <v>10</v>
      </c>
      <c r="G121" s="8"/>
      <c r="H121" s="8"/>
      <c r="I121" s="8"/>
      <c r="J121" s="8"/>
      <c r="K121" s="8"/>
      <c r="L121" s="8"/>
      <c r="M121" s="8"/>
      <c r="N121" s="8"/>
      <c r="O121" s="8">
        <v>10</v>
      </c>
    </row>
    <row r="122" spans="3:15" x14ac:dyDescent="0.3">
      <c r="C122" s="7" t="s">
        <v>78</v>
      </c>
      <c r="D122" s="8">
        <v>11</v>
      </c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>
        <v>11</v>
      </c>
    </row>
    <row r="123" spans="3:15" x14ac:dyDescent="0.3">
      <c r="C123" s="7" t="s">
        <v>76</v>
      </c>
      <c r="D123" s="8"/>
      <c r="E123" s="8"/>
      <c r="F123" s="8"/>
      <c r="G123" s="8"/>
      <c r="H123" s="8"/>
      <c r="I123" s="8"/>
      <c r="J123" s="8">
        <v>14</v>
      </c>
      <c r="K123" s="8"/>
      <c r="L123" s="8"/>
      <c r="M123" s="8"/>
      <c r="N123" s="8">
        <v>14</v>
      </c>
      <c r="O123" s="8">
        <v>14</v>
      </c>
    </row>
    <row r="124" spans="3:15" x14ac:dyDescent="0.3">
      <c r="C124" s="7" t="s">
        <v>99</v>
      </c>
      <c r="D124" s="8"/>
      <c r="E124" s="8">
        <v>17</v>
      </c>
      <c r="F124" s="8"/>
      <c r="G124" s="8"/>
      <c r="H124" s="8"/>
      <c r="I124" s="8"/>
      <c r="J124" s="8"/>
      <c r="K124" s="8"/>
      <c r="L124" s="8"/>
      <c r="M124" s="8"/>
      <c r="N124" s="8"/>
      <c r="O124" s="8">
        <v>17</v>
      </c>
    </row>
    <row r="125" spans="3:15" x14ac:dyDescent="0.3">
      <c r="C125" s="7" t="s">
        <v>139</v>
      </c>
      <c r="D125" s="8">
        <v>13.545454545454545</v>
      </c>
      <c r="E125" s="8">
        <v>16.583333333333332</v>
      </c>
      <c r="F125" s="8">
        <v>13.25</v>
      </c>
      <c r="G125" s="8">
        <v>13.25</v>
      </c>
      <c r="H125" s="8">
        <v>17.666666666666668</v>
      </c>
      <c r="I125" s="8">
        <v>13.833333333333334</v>
      </c>
      <c r="J125" s="8">
        <v>12.909090909090908</v>
      </c>
      <c r="K125" s="8">
        <v>13.833333333333334</v>
      </c>
      <c r="L125" s="8">
        <v>16.600000000000001</v>
      </c>
      <c r="M125" s="8">
        <v>15.384615384615385</v>
      </c>
      <c r="N125" s="8">
        <v>12.727272727272727</v>
      </c>
      <c r="O125" s="8">
        <v>14.43089430894309</v>
      </c>
    </row>
    <row r="129" spans="2:5" x14ac:dyDescent="0.3">
      <c r="B129" s="2" t="s">
        <v>107</v>
      </c>
    </row>
    <row r="130" spans="2:5" x14ac:dyDescent="0.3">
      <c r="C130" s="6" t="s">
        <v>144</v>
      </c>
      <c r="D130" s="6" t="s">
        <v>146</v>
      </c>
    </row>
    <row r="131" spans="2:5" x14ac:dyDescent="0.3">
      <c r="C131" s="6" t="s">
        <v>138</v>
      </c>
      <c r="D131" t="s">
        <v>37</v>
      </c>
      <c r="E131" t="s">
        <v>139</v>
      </c>
    </row>
    <row r="132" spans="2:5" x14ac:dyDescent="0.3">
      <c r="C132" s="7" t="s">
        <v>8</v>
      </c>
      <c r="D132" s="8">
        <v>12582</v>
      </c>
      <c r="E132" s="8">
        <v>12582</v>
      </c>
    </row>
    <row r="133" spans="2:5" x14ac:dyDescent="0.3">
      <c r="C133" s="7" t="s">
        <v>139</v>
      </c>
      <c r="D133" s="8">
        <v>12582</v>
      </c>
      <c r="E133" s="8">
        <v>12582</v>
      </c>
    </row>
    <row r="136" spans="2:5" x14ac:dyDescent="0.3">
      <c r="B136" s="2" t="s">
        <v>108</v>
      </c>
    </row>
    <row r="137" spans="2:5" x14ac:dyDescent="0.3">
      <c r="C137" s="6" t="s">
        <v>138</v>
      </c>
      <c r="D137" t="s">
        <v>147</v>
      </c>
    </row>
    <row r="138" spans="2:5" x14ac:dyDescent="0.3">
      <c r="C138" s="7" t="s">
        <v>52</v>
      </c>
      <c r="D138" s="8">
        <v>27328</v>
      </c>
    </row>
    <row r="139" spans="2:5" x14ac:dyDescent="0.3">
      <c r="C139" s="7" t="s">
        <v>139</v>
      </c>
      <c r="D139" s="8">
        <v>27328</v>
      </c>
    </row>
    <row r="143" spans="2:5" x14ac:dyDescent="0.3">
      <c r="B143" s="2" t="s">
        <v>109</v>
      </c>
    </row>
    <row r="144" spans="2:5" x14ac:dyDescent="0.3">
      <c r="C144" s="6" t="s">
        <v>138</v>
      </c>
      <c r="D144" s="9" t="s">
        <v>148</v>
      </c>
    </row>
    <row r="145" spans="2:4" x14ac:dyDescent="0.3">
      <c r="C145" s="7" t="s">
        <v>41</v>
      </c>
      <c r="D145" s="9">
        <v>261.81818181818181</v>
      </c>
    </row>
    <row r="146" spans="2:4" x14ac:dyDescent="0.3">
      <c r="C146" s="7" t="s">
        <v>49</v>
      </c>
      <c r="D146" s="9">
        <v>408</v>
      </c>
    </row>
    <row r="147" spans="2:4" x14ac:dyDescent="0.3">
      <c r="C147" s="7" t="s">
        <v>26</v>
      </c>
      <c r="D147" s="9">
        <v>270.83333333333331</v>
      </c>
    </row>
    <row r="148" spans="2:4" x14ac:dyDescent="0.3">
      <c r="C148" s="7" t="s">
        <v>14</v>
      </c>
      <c r="D148" s="9">
        <v>247.33333333333334</v>
      </c>
    </row>
    <row r="149" spans="2:4" x14ac:dyDescent="0.3">
      <c r="C149" s="7" t="s">
        <v>20</v>
      </c>
      <c r="D149" s="9">
        <v>417.58333333333331</v>
      </c>
    </row>
    <row r="150" spans="2:4" x14ac:dyDescent="0.3">
      <c r="C150" s="7" t="s">
        <v>59</v>
      </c>
      <c r="D150" s="9">
        <v>236.16666666666666</v>
      </c>
    </row>
    <row r="151" spans="2:4" x14ac:dyDescent="0.3">
      <c r="C151" s="7" t="s">
        <v>37</v>
      </c>
      <c r="D151" s="9">
        <v>295.27272727272725</v>
      </c>
    </row>
    <row r="152" spans="2:4" x14ac:dyDescent="0.3">
      <c r="C152" s="7" t="s">
        <v>32</v>
      </c>
      <c r="D152" s="9">
        <v>281.58333333333331</v>
      </c>
    </row>
    <row r="153" spans="2:4" x14ac:dyDescent="0.3">
      <c r="C153" s="7" t="s">
        <v>7</v>
      </c>
      <c r="D153" s="9">
        <v>359.4</v>
      </c>
    </row>
    <row r="154" spans="2:4" x14ac:dyDescent="0.3">
      <c r="C154" s="7" t="s">
        <v>54</v>
      </c>
      <c r="D154" s="9">
        <v>339.23076923076923</v>
      </c>
    </row>
    <row r="155" spans="2:4" x14ac:dyDescent="0.3">
      <c r="C155" s="7" t="s">
        <v>45</v>
      </c>
      <c r="D155" s="9">
        <v>279.90909090909093</v>
      </c>
    </row>
    <row r="156" spans="2:4" x14ac:dyDescent="0.3">
      <c r="C156" s="7" t="s">
        <v>139</v>
      </c>
      <c r="D156" s="9">
        <v>306.92682926829269</v>
      </c>
    </row>
    <row r="159" spans="2:4" ht="15" customHeight="1" x14ac:dyDescent="0.3">
      <c r="B159" s="4">
        <v>11</v>
      </c>
      <c r="C159" s="19" t="s">
        <v>110</v>
      </c>
      <c r="D159" s="19"/>
    </row>
    <row r="160" spans="2:4" x14ac:dyDescent="0.3">
      <c r="C160" s="6" t="s">
        <v>138</v>
      </c>
      <c r="D160" t="s">
        <v>140</v>
      </c>
    </row>
    <row r="161" spans="2:4" x14ac:dyDescent="0.3">
      <c r="C161" s="7" t="s">
        <v>41</v>
      </c>
      <c r="D161" s="8">
        <v>4722</v>
      </c>
    </row>
    <row r="162" spans="2:4" x14ac:dyDescent="0.3">
      <c r="C162" s="7" t="s">
        <v>49</v>
      </c>
      <c r="D162" s="8">
        <v>8030</v>
      </c>
    </row>
    <row r="163" spans="2:4" x14ac:dyDescent="0.3">
      <c r="C163" s="7" t="s">
        <v>26</v>
      </c>
      <c r="D163" s="8">
        <v>5368</v>
      </c>
    </row>
    <row r="164" spans="2:4" x14ac:dyDescent="0.3">
      <c r="C164" s="7" t="s">
        <v>14</v>
      </c>
      <c r="D164" s="8">
        <v>4893</v>
      </c>
    </row>
    <row r="165" spans="2:4" x14ac:dyDescent="0.3">
      <c r="C165" s="7" t="s">
        <v>20</v>
      </c>
      <c r="D165" s="8">
        <v>8211</v>
      </c>
    </row>
    <row r="166" spans="2:4" x14ac:dyDescent="0.3">
      <c r="C166" s="7" t="s">
        <v>59</v>
      </c>
      <c r="D166" s="8">
        <v>4645</v>
      </c>
    </row>
    <row r="167" spans="2:4" x14ac:dyDescent="0.3">
      <c r="C167" s="7" t="s">
        <v>37</v>
      </c>
      <c r="D167" s="8">
        <v>5322</v>
      </c>
    </row>
    <row r="168" spans="2:4" x14ac:dyDescent="0.3">
      <c r="C168" s="7" t="s">
        <v>32</v>
      </c>
      <c r="D168" s="8">
        <v>5577</v>
      </c>
    </row>
    <row r="169" spans="2:4" x14ac:dyDescent="0.3">
      <c r="C169" s="7" t="s">
        <v>7</v>
      </c>
      <c r="D169" s="8">
        <v>2992</v>
      </c>
    </row>
    <row r="170" spans="2:4" x14ac:dyDescent="0.3">
      <c r="C170" s="7" t="s">
        <v>54</v>
      </c>
      <c r="D170" s="8">
        <v>7231</v>
      </c>
    </row>
    <row r="171" spans="2:4" x14ac:dyDescent="0.3">
      <c r="C171" s="7" t="s">
        <v>45</v>
      </c>
      <c r="D171" s="8">
        <v>5046</v>
      </c>
    </row>
    <row r="172" spans="2:4" x14ac:dyDescent="0.3">
      <c r="C172" s="7" t="s">
        <v>139</v>
      </c>
      <c r="D172" s="8">
        <v>62037</v>
      </c>
    </row>
    <row r="175" spans="2:4" ht="16.2" customHeight="1" x14ac:dyDescent="0.3">
      <c r="B175" s="4">
        <v>12</v>
      </c>
      <c r="C175" s="19" t="s">
        <v>111</v>
      </c>
      <c r="D175" s="19"/>
    </row>
    <row r="176" spans="2:4" x14ac:dyDescent="0.3">
      <c r="C176" s="6" t="s">
        <v>138</v>
      </c>
      <c r="D176" t="s">
        <v>140</v>
      </c>
    </row>
    <row r="177" spans="2:4" x14ac:dyDescent="0.3">
      <c r="C177" s="7" t="s">
        <v>27</v>
      </c>
      <c r="D177" s="8">
        <v>19173</v>
      </c>
    </row>
    <row r="178" spans="2:4" x14ac:dyDescent="0.3">
      <c r="C178" s="7" t="s">
        <v>15</v>
      </c>
      <c r="D178" s="8">
        <v>8687</v>
      </c>
    </row>
    <row r="179" spans="2:4" x14ac:dyDescent="0.3">
      <c r="C179" s="7" t="s">
        <v>8</v>
      </c>
      <c r="D179" s="8">
        <v>16952</v>
      </c>
    </row>
    <row r="180" spans="2:4" x14ac:dyDescent="0.3">
      <c r="C180" s="7" t="s">
        <v>21</v>
      </c>
      <c r="D180" s="8">
        <v>17225</v>
      </c>
    </row>
    <row r="181" spans="2:4" x14ac:dyDescent="0.3">
      <c r="C181" s="7" t="s">
        <v>139</v>
      </c>
      <c r="D181" s="8">
        <v>62037</v>
      </c>
    </row>
    <row r="184" spans="2:4" x14ac:dyDescent="0.3">
      <c r="B184" s="5">
        <v>13</v>
      </c>
      <c r="C184" s="4" t="s">
        <v>149</v>
      </c>
      <c r="D184" s="20"/>
    </row>
    <row r="185" spans="2:4" x14ac:dyDescent="0.3">
      <c r="C185" s="6" t="s">
        <v>138</v>
      </c>
      <c r="D185" t="s">
        <v>144</v>
      </c>
    </row>
    <row r="186" spans="2:4" x14ac:dyDescent="0.3">
      <c r="C186" s="7" t="s">
        <v>82</v>
      </c>
      <c r="D186" s="8">
        <v>11392</v>
      </c>
    </row>
    <row r="187" spans="2:4" x14ac:dyDescent="0.3">
      <c r="C187" s="7" t="s">
        <v>9</v>
      </c>
      <c r="D187" s="8">
        <v>9168</v>
      </c>
    </row>
    <row r="188" spans="2:4" x14ac:dyDescent="0.3">
      <c r="C188" s="7" t="s">
        <v>93</v>
      </c>
      <c r="D188" s="8">
        <v>11835</v>
      </c>
    </row>
    <row r="189" spans="2:4" x14ac:dyDescent="0.3">
      <c r="C189" s="7" t="s">
        <v>10</v>
      </c>
      <c r="D189" s="8">
        <v>15840</v>
      </c>
    </row>
    <row r="190" spans="2:4" x14ac:dyDescent="0.3">
      <c r="C190" s="7" t="s">
        <v>38</v>
      </c>
      <c r="D190" s="8">
        <v>2240</v>
      </c>
    </row>
    <row r="191" spans="2:4" x14ac:dyDescent="0.3">
      <c r="C191" s="7" t="s">
        <v>43</v>
      </c>
      <c r="D191" s="8">
        <v>13180</v>
      </c>
    </row>
    <row r="192" spans="2:4" x14ac:dyDescent="0.3">
      <c r="C192" s="7" t="s">
        <v>81</v>
      </c>
      <c r="D192" s="8">
        <v>32765</v>
      </c>
    </row>
    <row r="193" spans="3:4" x14ac:dyDescent="0.3">
      <c r="C193" s="7" t="s">
        <v>11</v>
      </c>
      <c r="D193" s="8">
        <v>31552</v>
      </c>
    </row>
    <row r="194" spans="3:4" x14ac:dyDescent="0.3">
      <c r="C194" s="7" t="s">
        <v>64</v>
      </c>
      <c r="D194" s="8">
        <v>11475</v>
      </c>
    </row>
    <row r="195" spans="3:4" x14ac:dyDescent="0.3">
      <c r="C195" s="7" t="s">
        <v>55</v>
      </c>
      <c r="D195" s="8">
        <v>17077</v>
      </c>
    </row>
    <row r="196" spans="3:4" x14ac:dyDescent="0.3">
      <c r="C196" s="7" t="s">
        <v>71</v>
      </c>
      <c r="D196" s="8">
        <v>1143</v>
      </c>
    </row>
    <row r="197" spans="3:4" x14ac:dyDescent="0.3">
      <c r="C197" s="7" t="s">
        <v>98</v>
      </c>
      <c r="D197" s="8">
        <v>11775</v>
      </c>
    </row>
    <row r="198" spans="3:4" x14ac:dyDescent="0.3">
      <c r="C198" s="7" t="s">
        <v>83</v>
      </c>
      <c r="D198" s="8">
        <v>11970</v>
      </c>
    </row>
    <row r="199" spans="3:4" x14ac:dyDescent="0.3">
      <c r="C199" s="7" t="s">
        <v>39</v>
      </c>
      <c r="D199" s="8">
        <v>15226</v>
      </c>
    </row>
    <row r="200" spans="3:4" x14ac:dyDescent="0.3">
      <c r="C200" s="7" t="s">
        <v>75</v>
      </c>
      <c r="D200" s="8">
        <v>1296</v>
      </c>
    </row>
    <row r="201" spans="3:4" x14ac:dyDescent="0.3">
      <c r="C201" s="7" t="s">
        <v>67</v>
      </c>
      <c r="D201" s="8">
        <v>23710</v>
      </c>
    </row>
    <row r="202" spans="3:4" x14ac:dyDescent="0.3">
      <c r="C202" s="7" t="s">
        <v>92</v>
      </c>
      <c r="D202" s="8">
        <v>4026</v>
      </c>
    </row>
    <row r="203" spans="3:4" x14ac:dyDescent="0.3">
      <c r="C203" s="7" t="s">
        <v>25</v>
      </c>
      <c r="D203" s="8">
        <v>13713</v>
      </c>
    </row>
    <row r="204" spans="3:4" x14ac:dyDescent="0.3">
      <c r="C204" s="7" t="s">
        <v>90</v>
      </c>
      <c r="D204" s="8">
        <v>11568</v>
      </c>
    </row>
    <row r="205" spans="3:4" x14ac:dyDescent="0.3">
      <c r="C205" s="7" t="s">
        <v>61</v>
      </c>
      <c r="D205" s="8">
        <v>12005</v>
      </c>
    </row>
    <row r="206" spans="3:4" x14ac:dyDescent="0.3">
      <c r="C206" s="7" t="s">
        <v>56</v>
      </c>
      <c r="D206" s="8">
        <v>23958</v>
      </c>
    </row>
    <row r="207" spans="3:4" x14ac:dyDescent="0.3">
      <c r="C207" s="7" t="s">
        <v>12</v>
      </c>
      <c r="D207" s="8">
        <v>4830</v>
      </c>
    </row>
    <row r="208" spans="3:4" x14ac:dyDescent="0.3">
      <c r="C208" s="7" t="s">
        <v>42</v>
      </c>
      <c r="D208" s="8">
        <v>10335</v>
      </c>
    </row>
    <row r="209" spans="3:4" x14ac:dyDescent="0.3">
      <c r="C209" s="7" t="s">
        <v>40</v>
      </c>
      <c r="D209" s="8">
        <v>2935</v>
      </c>
    </row>
    <row r="210" spans="3:4" x14ac:dyDescent="0.3">
      <c r="C210" s="7" t="s">
        <v>94</v>
      </c>
      <c r="D210" s="8">
        <v>1728</v>
      </c>
    </row>
    <row r="211" spans="3:4" x14ac:dyDescent="0.3">
      <c r="C211" s="7" t="s">
        <v>44</v>
      </c>
      <c r="D211" s="8">
        <v>28170</v>
      </c>
    </row>
    <row r="212" spans="3:4" x14ac:dyDescent="0.3">
      <c r="C212" s="7" t="s">
        <v>13</v>
      </c>
      <c r="D212" s="8">
        <v>10848</v>
      </c>
    </row>
    <row r="213" spans="3:4" x14ac:dyDescent="0.3">
      <c r="C213" s="7" t="s">
        <v>87</v>
      </c>
      <c r="D213" s="8">
        <v>12582</v>
      </c>
    </row>
    <row r="214" spans="3:4" x14ac:dyDescent="0.3">
      <c r="C214" s="7" t="s">
        <v>58</v>
      </c>
      <c r="D214" s="8">
        <v>14287</v>
      </c>
    </row>
    <row r="215" spans="3:4" x14ac:dyDescent="0.3">
      <c r="C215" s="7" t="s">
        <v>79</v>
      </c>
      <c r="D215" s="8">
        <v>15436</v>
      </c>
    </row>
    <row r="216" spans="3:4" x14ac:dyDescent="0.3">
      <c r="C216" s="7" t="s">
        <v>16</v>
      </c>
      <c r="D216" s="8">
        <v>2706</v>
      </c>
    </row>
    <row r="217" spans="3:4" x14ac:dyDescent="0.3">
      <c r="C217" s="7" t="s">
        <v>19</v>
      </c>
      <c r="D217" s="8">
        <v>1755</v>
      </c>
    </row>
    <row r="218" spans="3:4" x14ac:dyDescent="0.3">
      <c r="C218" s="7" t="s">
        <v>97</v>
      </c>
      <c r="D218" s="8">
        <v>9170</v>
      </c>
    </row>
    <row r="219" spans="3:4" x14ac:dyDescent="0.3">
      <c r="C219" s="7" t="s">
        <v>95</v>
      </c>
      <c r="D219" s="8">
        <v>3912</v>
      </c>
    </row>
    <row r="220" spans="3:4" x14ac:dyDescent="0.3">
      <c r="C220" s="7" t="s">
        <v>72</v>
      </c>
      <c r="D220" s="8">
        <v>20879</v>
      </c>
    </row>
    <row r="221" spans="3:4" x14ac:dyDescent="0.3">
      <c r="C221" s="7" t="s">
        <v>51</v>
      </c>
      <c r="D221" s="8">
        <v>6287</v>
      </c>
    </row>
    <row r="222" spans="3:4" x14ac:dyDescent="0.3">
      <c r="C222" s="7" t="s">
        <v>22</v>
      </c>
      <c r="D222" s="8">
        <v>3014</v>
      </c>
    </row>
    <row r="223" spans="3:4" x14ac:dyDescent="0.3">
      <c r="C223" s="7" t="s">
        <v>62</v>
      </c>
      <c r="D223" s="8">
        <v>10692</v>
      </c>
    </row>
    <row r="224" spans="3:4" x14ac:dyDescent="0.3">
      <c r="C224" s="7" t="s">
        <v>91</v>
      </c>
      <c r="D224" s="8">
        <v>8873</v>
      </c>
    </row>
    <row r="225" spans="3:4" x14ac:dyDescent="0.3">
      <c r="C225" s="7" t="s">
        <v>28</v>
      </c>
      <c r="D225" s="8">
        <v>13413</v>
      </c>
    </row>
    <row r="226" spans="3:4" x14ac:dyDescent="0.3">
      <c r="C226" s="7" t="s">
        <v>47</v>
      </c>
      <c r="D226" s="8">
        <v>7215</v>
      </c>
    </row>
    <row r="227" spans="3:4" x14ac:dyDescent="0.3">
      <c r="C227" s="7" t="s">
        <v>77</v>
      </c>
      <c r="D227" s="8">
        <v>3473</v>
      </c>
    </row>
    <row r="228" spans="3:4" x14ac:dyDescent="0.3">
      <c r="C228" s="7" t="s">
        <v>85</v>
      </c>
      <c r="D228" s="8">
        <v>4344</v>
      </c>
    </row>
    <row r="229" spans="3:4" x14ac:dyDescent="0.3">
      <c r="C229" s="7" t="s">
        <v>33</v>
      </c>
      <c r="D229" s="8">
        <v>2769</v>
      </c>
    </row>
    <row r="230" spans="3:4" x14ac:dyDescent="0.3">
      <c r="C230" s="7" t="s">
        <v>17</v>
      </c>
      <c r="D230" s="8">
        <v>9291</v>
      </c>
    </row>
    <row r="231" spans="3:4" x14ac:dyDescent="0.3">
      <c r="C231" s="7" t="s">
        <v>68</v>
      </c>
      <c r="D231" s="8">
        <v>35554</v>
      </c>
    </row>
    <row r="232" spans="3:4" x14ac:dyDescent="0.3">
      <c r="C232" s="7" t="s">
        <v>31</v>
      </c>
      <c r="D232" s="8">
        <v>12052</v>
      </c>
    </row>
    <row r="233" spans="3:4" x14ac:dyDescent="0.3">
      <c r="C233" s="7" t="s">
        <v>23</v>
      </c>
      <c r="D233" s="8">
        <v>21762</v>
      </c>
    </row>
    <row r="234" spans="3:4" x14ac:dyDescent="0.3">
      <c r="C234" s="7" t="s">
        <v>65</v>
      </c>
      <c r="D234" s="8">
        <v>43093</v>
      </c>
    </row>
    <row r="235" spans="3:4" x14ac:dyDescent="0.3">
      <c r="C235" s="7" t="s">
        <v>57</v>
      </c>
      <c r="D235" s="8">
        <v>14535</v>
      </c>
    </row>
    <row r="236" spans="3:4" x14ac:dyDescent="0.3">
      <c r="C236" s="7" t="s">
        <v>70</v>
      </c>
      <c r="D236" s="8">
        <v>39960</v>
      </c>
    </row>
    <row r="237" spans="3:4" x14ac:dyDescent="0.3">
      <c r="C237" s="7" t="s">
        <v>60</v>
      </c>
      <c r="D237" s="8">
        <v>23079</v>
      </c>
    </row>
    <row r="238" spans="3:4" x14ac:dyDescent="0.3">
      <c r="C238" s="7" t="s">
        <v>74</v>
      </c>
      <c r="D238" s="8">
        <v>12432</v>
      </c>
    </row>
    <row r="239" spans="3:4" x14ac:dyDescent="0.3">
      <c r="C239" s="7" t="s">
        <v>29</v>
      </c>
      <c r="D239" s="8">
        <v>4905</v>
      </c>
    </row>
    <row r="240" spans="3:4" x14ac:dyDescent="0.3">
      <c r="C240" s="7" t="s">
        <v>36</v>
      </c>
      <c r="D240" s="8">
        <v>8664</v>
      </c>
    </row>
    <row r="241" spans="3:4" x14ac:dyDescent="0.3">
      <c r="C241" s="7" t="s">
        <v>34</v>
      </c>
      <c r="D241" s="8">
        <v>11835</v>
      </c>
    </row>
    <row r="242" spans="3:4" x14ac:dyDescent="0.3">
      <c r="C242" s="7" t="s">
        <v>73</v>
      </c>
      <c r="D242" s="8">
        <v>7150</v>
      </c>
    </row>
    <row r="243" spans="3:4" x14ac:dyDescent="0.3">
      <c r="C243" s="7" t="s">
        <v>52</v>
      </c>
      <c r="D243" s="8">
        <v>28576</v>
      </c>
    </row>
    <row r="244" spans="3:4" x14ac:dyDescent="0.3">
      <c r="C244" s="7" t="s">
        <v>18</v>
      </c>
      <c r="D244" s="8">
        <v>4248</v>
      </c>
    </row>
    <row r="245" spans="3:4" x14ac:dyDescent="0.3">
      <c r="C245" s="7" t="s">
        <v>88</v>
      </c>
      <c r="D245" s="8">
        <v>12432</v>
      </c>
    </row>
    <row r="246" spans="3:4" x14ac:dyDescent="0.3">
      <c r="C246" s="7" t="s">
        <v>24</v>
      </c>
      <c r="D246" s="8">
        <v>25508</v>
      </c>
    </row>
    <row r="247" spans="3:4" x14ac:dyDescent="0.3">
      <c r="C247" s="7" t="s">
        <v>96</v>
      </c>
      <c r="D247" s="8">
        <v>5616</v>
      </c>
    </row>
    <row r="248" spans="3:4" x14ac:dyDescent="0.3">
      <c r="C248" s="7" t="s">
        <v>63</v>
      </c>
      <c r="D248" s="8">
        <v>7716</v>
      </c>
    </row>
    <row r="249" spans="3:4" x14ac:dyDescent="0.3">
      <c r="C249" s="7" t="s">
        <v>89</v>
      </c>
      <c r="D249" s="8">
        <v>2330</v>
      </c>
    </row>
    <row r="250" spans="3:4" x14ac:dyDescent="0.3">
      <c r="C250" s="7" t="s">
        <v>48</v>
      </c>
      <c r="D250" s="8">
        <v>6480</v>
      </c>
    </row>
    <row r="251" spans="3:4" x14ac:dyDescent="0.3">
      <c r="C251" s="7" t="s">
        <v>30</v>
      </c>
      <c r="D251" s="8">
        <v>5138</v>
      </c>
    </row>
    <row r="252" spans="3:4" x14ac:dyDescent="0.3">
      <c r="C252" s="7" t="s">
        <v>84</v>
      </c>
      <c r="D252" s="8">
        <v>5736</v>
      </c>
    </row>
    <row r="253" spans="3:4" x14ac:dyDescent="0.3">
      <c r="C253" s="7" t="s">
        <v>35</v>
      </c>
      <c r="D253" s="8">
        <v>6552</v>
      </c>
    </row>
    <row r="254" spans="3:4" x14ac:dyDescent="0.3">
      <c r="C254" s="7" t="s">
        <v>69</v>
      </c>
      <c r="D254" s="8">
        <v>23670</v>
      </c>
    </row>
    <row r="255" spans="3:4" x14ac:dyDescent="0.3">
      <c r="C255" s="7" t="s">
        <v>86</v>
      </c>
      <c r="D255" s="8">
        <v>11415</v>
      </c>
    </row>
    <row r="256" spans="3:4" x14ac:dyDescent="0.3">
      <c r="C256" s="7" t="s">
        <v>80</v>
      </c>
      <c r="D256" s="8">
        <v>25821</v>
      </c>
    </row>
    <row r="257" spans="2:4" x14ac:dyDescent="0.3">
      <c r="C257" s="7" t="s">
        <v>50</v>
      </c>
      <c r="D257" s="8">
        <v>29253</v>
      </c>
    </row>
    <row r="258" spans="2:4" x14ac:dyDescent="0.3">
      <c r="C258" s="7" t="s">
        <v>66</v>
      </c>
      <c r="D258" s="8">
        <v>10575</v>
      </c>
    </row>
    <row r="259" spans="2:4" x14ac:dyDescent="0.3">
      <c r="C259" s="7" t="s">
        <v>100</v>
      </c>
      <c r="D259" s="8">
        <v>11790</v>
      </c>
    </row>
    <row r="260" spans="2:4" x14ac:dyDescent="0.3">
      <c r="C260" s="7" t="s">
        <v>46</v>
      </c>
      <c r="D260" s="8">
        <v>1408</v>
      </c>
    </row>
    <row r="261" spans="2:4" x14ac:dyDescent="0.3">
      <c r="C261" s="7" t="s">
        <v>53</v>
      </c>
      <c r="D261" s="8">
        <v>4300</v>
      </c>
    </row>
    <row r="262" spans="2:4" x14ac:dyDescent="0.3">
      <c r="C262" s="7" t="s">
        <v>78</v>
      </c>
      <c r="D262" s="8">
        <v>3916</v>
      </c>
    </row>
    <row r="263" spans="2:4" x14ac:dyDescent="0.3">
      <c r="C263" s="7" t="s">
        <v>76</v>
      </c>
      <c r="D263" s="8">
        <v>18480</v>
      </c>
    </row>
    <row r="264" spans="2:4" x14ac:dyDescent="0.3">
      <c r="C264" s="7" t="s">
        <v>99</v>
      </c>
      <c r="D264" s="8">
        <v>14688</v>
      </c>
    </row>
    <row r="265" spans="2:4" x14ac:dyDescent="0.3">
      <c r="C265" s="7" t="s">
        <v>139</v>
      </c>
      <c r="D265" s="8">
        <v>996527</v>
      </c>
    </row>
    <row r="268" spans="2:4" x14ac:dyDescent="0.3">
      <c r="B268" s="5">
        <v>14</v>
      </c>
      <c r="C268" s="4" t="s">
        <v>150</v>
      </c>
      <c r="D268" s="20"/>
    </row>
    <row r="269" spans="2:4" x14ac:dyDescent="0.3">
      <c r="C269" s="6" t="s">
        <v>138</v>
      </c>
      <c r="D269" t="s">
        <v>151</v>
      </c>
    </row>
    <row r="270" spans="2:4" x14ac:dyDescent="0.3">
      <c r="C270" s="7" t="s">
        <v>52</v>
      </c>
      <c r="D270" s="8">
        <v>28</v>
      </c>
    </row>
    <row r="271" spans="2:4" x14ac:dyDescent="0.3">
      <c r="C271" s="7" t="s">
        <v>139</v>
      </c>
      <c r="D271" s="8">
        <v>28</v>
      </c>
    </row>
    <row r="274" spans="2:5" x14ac:dyDescent="0.3">
      <c r="B274" s="5">
        <v>15</v>
      </c>
      <c r="C274" s="4" t="s">
        <v>152</v>
      </c>
      <c r="D274" s="20"/>
    </row>
    <row r="275" spans="2:5" x14ac:dyDescent="0.3">
      <c r="C275" s="6" t="s">
        <v>138</v>
      </c>
      <c r="D275" t="s">
        <v>153</v>
      </c>
      <c r="E275" t="s">
        <v>154</v>
      </c>
    </row>
    <row r="276" spans="2:5" x14ac:dyDescent="0.3">
      <c r="C276" s="7" t="s">
        <v>27</v>
      </c>
      <c r="D276" s="8">
        <v>999</v>
      </c>
      <c r="E276" s="8">
        <v>123</v>
      </c>
    </row>
    <row r="277" spans="2:5" x14ac:dyDescent="0.3">
      <c r="C277" s="7" t="s">
        <v>15</v>
      </c>
      <c r="D277" s="8">
        <v>864</v>
      </c>
      <c r="E277" s="8">
        <v>123</v>
      </c>
    </row>
    <row r="278" spans="2:5" x14ac:dyDescent="0.3">
      <c r="C278" s="7" t="s">
        <v>8</v>
      </c>
      <c r="D278" s="8">
        <v>988</v>
      </c>
      <c r="E278" s="8">
        <v>125</v>
      </c>
    </row>
    <row r="279" spans="2:5" x14ac:dyDescent="0.3">
      <c r="C279" s="7" t="s">
        <v>21</v>
      </c>
      <c r="D279" s="8">
        <v>999</v>
      </c>
      <c r="E279" s="8">
        <v>127</v>
      </c>
    </row>
    <row r="280" spans="2:5" x14ac:dyDescent="0.3">
      <c r="C280" s="7" t="s">
        <v>139</v>
      </c>
      <c r="D280" s="8">
        <v>999</v>
      </c>
      <c r="E280" s="8">
        <v>123</v>
      </c>
    </row>
    <row r="283" spans="2:5" x14ac:dyDescent="0.3">
      <c r="B283" s="4">
        <v>16</v>
      </c>
      <c r="C283" s="4" t="s">
        <v>155</v>
      </c>
      <c r="D283" s="20"/>
    </row>
    <row r="284" spans="2:5" x14ac:dyDescent="0.3">
      <c r="C284" s="6" t="s">
        <v>138</v>
      </c>
      <c r="D284" t="s">
        <v>151</v>
      </c>
    </row>
    <row r="285" spans="2:5" x14ac:dyDescent="0.3">
      <c r="C285" s="7" t="s">
        <v>49</v>
      </c>
      <c r="D285" s="8">
        <v>28</v>
      </c>
    </row>
    <row r="286" spans="2:5" x14ac:dyDescent="0.3">
      <c r="C286" s="7" t="s">
        <v>139</v>
      </c>
      <c r="D286" s="8">
        <v>28</v>
      </c>
    </row>
    <row r="289" spans="2:8" x14ac:dyDescent="0.3">
      <c r="B289" s="4">
        <v>17</v>
      </c>
      <c r="C289" s="4" t="s">
        <v>156</v>
      </c>
      <c r="D289" s="20"/>
    </row>
    <row r="290" spans="2:8" x14ac:dyDescent="0.3">
      <c r="C290" s="6" t="s">
        <v>138</v>
      </c>
      <c r="D290" t="s">
        <v>140</v>
      </c>
    </row>
    <row r="291" spans="2:8" x14ac:dyDescent="0.3">
      <c r="C291" s="7" t="s">
        <v>20</v>
      </c>
      <c r="D291" s="8">
        <v>8211</v>
      </c>
    </row>
    <row r="292" spans="2:8" x14ac:dyDescent="0.3">
      <c r="C292" s="7" t="s">
        <v>139</v>
      </c>
      <c r="D292" s="8">
        <v>8211</v>
      </c>
    </row>
    <row r="295" spans="2:8" x14ac:dyDescent="0.3">
      <c r="B295" s="4">
        <v>18</v>
      </c>
      <c r="C295" s="4" t="s">
        <v>157</v>
      </c>
      <c r="D295" s="20"/>
    </row>
    <row r="296" spans="2:8" x14ac:dyDescent="0.3">
      <c r="C296" s="6" t="s">
        <v>138</v>
      </c>
      <c r="D296" t="s">
        <v>140</v>
      </c>
    </row>
    <row r="297" spans="2:8" x14ac:dyDescent="0.3">
      <c r="C297" s="7" t="s">
        <v>7</v>
      </c>
      <c r="D297" s="8">
        <v>2992</v>
      </c>
    </row>
    <row r="298" spans="2:8" x14ac:dyDescent="0.3">
      <c r="C298" s="7" t="s">
        <v>139</v>
      </c>
      <c r="D298" s="8">
        <v>2992</v>
      </c>
    </row>
    <row r="301" spans="2:8" x14ac:dyDescent="0.3">
      <c r="B301" s="4">
        <v>19</v>
      </c>
      <c r="C301" s="4" t="s">
        <v>158</v>
      </c>
      <c r="D301" s="20"/>
    </row>
    <row r="302" spans="2:8" x14ac:dyDescent="0.3">
      <c r="C302" s="6" t="s">
        <v>153</v>
      </c>
      <c r="D302" s="6" t="s">
        <v>146</v>
      </c>
    </row>
    <row r="303" spans="2:8" x14ac:dyDescent="0.3">
      <c r="C303" s="6" t="s">
        <v>138</v>
      </c>
      <c r="D303" t="s">
        <v>27</v>
      </c>
      <c r="E303" t="s">
        <v>15</v>
      </c>
      <c r="F303" t="s">
        <v>8</v>
      </c>
      <c r="G303" t="s">
        <v>21</v>
      </c>
      <c r="H303" t="s">
        <v>139</v>
      </c>
    </row>
    <row r="304" spans="2:8" x14ac:dyDescent="0.3">
      <c r="C304" s="7" t="s">
        <v>41</v>
      </c>
      <c r="D304" s="8">
        <v>777</v>
      </c>
      <c r="E304" s="8">
        <v>356</v>
      </c>
      <c r="F304" s="8">
        <v>715</v>
      </c>
      <c r="G304" s="8">
        <v>689</v>
      </c>
      <c r="H304" s="8">
        <v>777</v>
      </c>
    </row>
    <row r="305" spans="2:8" x14ac:dyDescent="0.3">
      <c r="C305" s="7" t="s">
        <v>49</v>
      </c>
      <c r="D305" s="8">
        <v>798</v>
      </c>
      <c r="E305" s="8">
        <v>199</v>
      </c>
      <c r="F305" s="8">
        <v>988</v>
      </c>
      <c r="G305" s="8">
        <v>712</v>
      </c>
      <c r="H305" s="8">
        <v>988</v>
      </c>
    </row>
    <row r="306" spans="2:8" x14ac:dyDescent="0.3">
      <c r="C306" s="7" t="s">
        <v>26</v>
      </c>
      <c r="D306" s="8">
        <v>789</v>
      </c>
      <c r="E306" s="8"/>
      <c r="F306" s="8">
        <v>127</v>
      </c>
      <c r="G306" s="8">
        <v>999</v>
      </c>
      <c r="H306" s="8">
        <v>999</v>
      </c>
    </row>
    <row r="307" spans="2:8" x14ac:dyDescent="0.3">
      <c r="C307" s="7" t="s">
        <v>14</v>
      </c>
      <c r="D307" s="8">
        <v>187</v>
      </c>
      <c r="E307" s="8">
        <v>489</v>
      </c>
      <c r="F307" s="8">
        <v>541</v>
      </c>
      <c r="G307" s="8">
        <v>786</v>
      </c>
      <c r="H307" s="8">
        <v>786</v>
      </c>
    </row>
    <row r="308" spans="2:8" x14ac:dyDescent="0.3">
      <c r="C308" s="7" t="s">
        <v>20</v>
      </c>
      <c r="D308" s="8">
        <v>989</v>
      </c>
      <c r="E308" s="8">
        <v>864</v>
      </c>
      <c r="F308" s="8">
        <v>786</v>
      </c>
      <c r="G308" s="8">
        <v>911</v>
      </c>
      <c r="H308" s="8">
        <v>989</v>
      </c>
    </row>
    <row r="309" spans="2:8" x14ac:dyDescent="0.3">
      <c r="C309" s="7" t="s">
        <v>59</v>
      </c>
      <c r="D309" s="8">
        <v>467</v>
      </c>
      <c r="E309" s="8">
        <v>678</v>
      </c>
      <c r="F309" s="8"/>
      <c r="G309" s="8"/>
      <c r="H309" s="8">
        <v>678</v>
      </c>
    </row>
    <row r="310" spans="2:8" x14ac:dyDescent="0.3">
      <c r="C310" s="7" t="s">
        <v>37</v>
      </c>
      <c r="D310" s="8">
        <v>999</v>
      </c>
      <c r="E310" s="8">
        <v>777</v>
      </c>
      <c r="F310" s="8">
        <v>699</v>
      </c>
      <c r="G310" s="8">
        <v>223</v>
      </c>
      <c r="H310" s="8">
        <v>999</v>
      </c>
    </row>
    <row r="311" spans="2:8" x14ac:dyDescent="0.3">
      <c r="C311" s="7" t="s">
        <v>32</v>
      </c>
      <c r="D311" s="8">
        <v>785</v>
      </c>
      <c r="E311" s="8">
        <v>722</v>
      </c>
      <c r="F311" s="8">
        <v>789</v>
      </c>
      <c r="G311" s="8">
        <v>223</v>
      </c>
      <c r="H311" s="8">
        <v>789</v>
      </c>
    </row>
    <row r="312" spans="2:8" x14ac:dyDescent="0.3">
      <c r="C312" s="7" t="s">
        <v>7</v>
      </c>
      <c r="D312" s="8"/>
      <c r="E312" s="8"/>
      <c r="F312" s="8">
        <v>792</v>
      </c>
      <c r="G312" s="8"/>
      <c r="H312" s="8">
        <v>792</v>
      </c>
    </row>
    <row r="313" spans="2:8" x14ac:dyDescent="0.3">
      <c r="C313" s="7" t="s">
        <v>54</v>
      </c>
      <c r="D313" s="8">
        <v>765</v>
      </c>
      <c r="E313" s="8"/>
      <c r="F313" s="8">
        <v>355</v>
      </c>
      <c r="G313" s="8">
        <v>879</v>
      </c>
      <c r="H313" s="8">
        <v>879</v>
      </c>
    </row>
    <row r="314" spans="2:8" x14ac:dyDescent="0.3">
      <c r="C314" s="7" t="s">
        <v>45</v>
      </c>
      <c r="D314" s="8">
        <v>777</v>
      </c>
      <c r="E314" s="8">
        <v>288</v>
      </c>
      <c r="F314" s="8">
        <v>186</v>
      </c>
      <c r="G314" s="8">
        <v>555</v>
      </c>
      <c r="H314" s="8">
        <v>777</v>
      </c>
    </row>
    <row r="315" spans="2:8" x14ac:dyDescent="0.3">
      <c r="C315" s="7" t="s">
        <v>139</v>
      </c>
      <c r="D315" s="8">
        <v>999</v>
      </c>
      <c r="E315" s="8">
        <v>864</v>
      </c>
      <c r="F315" s="8">
        <v>988</v>
      </c>
      <c r="G315" s="8">
        <v>999</v>
      </c>
      <c r="H315" s="8">
        <v>999</v>
      </c>
    </row>
    <row r="318" spans="2:8" x14ac:dyDescent="0.3">
      <c r="B318" s="4">
        <v>20</v>
      </c>
      <c r="C318" s="4" t="s">
        <v>159</v>
      </c>
      <c r="D318" s="20"/>
    </row>
    <row r="319" spans="2:8" x14ac:dyDescent="0.3">
      <c r="C319" s="6" t="s">
        <v>138</v>
      </c>
      <c r="D319" t="s">
        <v>141</v>
      </c>
    </row>
    <row r="320" spans="2:8" x14ac:dyDescent="0.3">
      <c r="C320" s="7" t="s">
        <v>41</v>
      </c>
      <c r="D320" s="9">
        <v>429.27272727272725</v>
      </c>
    </row>
    <row r="321" spans="2:15" x14ac:dyDescent="0.3">
      <c r="C321" s="7" t="s">
        <v>49</v>
      </c>
      <c r="D321" s="9">
        <v>669.16666666666663</v>
      </c>
    </row>
    <row r="322" spans="2:15" x14ac:dyDescent="0.3">
      <c r="C322" s="7" t="s">
        <v>26</v>
      </c>
      <c r="D322" s="9">
        <v>447.33333333333331</v>
      </c>
    </row>
    <row r="323" spans="2:15" x14ac:dyDescent="0.3">
      <c r="C323" s="7" t="s">
        <v>14</v>
      </c>
      <c r="D323" s="9">
        <v>407.75</v>
      </c>
    </row>
    <row r="324" spans="2:15" x14ac:dyDescent="0.3">
      <c r="C324" s="7" t="s">
        <v>20</v>
      </c>
      <c r="D324" s="9">
        <v>684.25</v>
      </c>
    </row>
    <row r="325" spans="2:15" x14ac:dyDescent="0.3">
      <c r="C325" s="7" t="s">
        <v>59</v>
      </c>
      <c r="D325" s="9">
        <v>387.08333333333331</v>
      </c>
    </row>
    <row r="326" spans="2:15" x14ac:dyDescent="0.3">
      <c r="C326" s="7" t="s">
        <v>37</v>
      </c>
      <c r="D326" s="9">
        <v>483.81818181818181</v>
      </c>
    </row>
    <row r="327" spans="2:15" x14ac:dyDescent="0.3">
      <c r="C327" s="7" t="s">
        <v>32</v>
      </c>
      <c r="D327" s="9">
        <v>464.75</v>
      </c>
    </row>
    <row r="328" spans="2:15" x14ac:dyDescent="0.3">
      <c r="C328" s="7" t="s">
        <v>7</v>
      </c>
      <c r="D328" s="9">
        <v>598.4</v>
      </c>
    </row>
    <row r="329" spans="2:15" x14ac:dyDescent="0.3">
      <c r="C329" s="7" t="s">
        <v>54</v>
      </c>
      <c r="D329" s="9">
        <v>556.23076923076928</v>
      </c>
    </row>
    <row r="330" spans="2:15" x14ac:dyDescent="0.3">
      <c r="C330" s="7" t="s">
        <v>45</v>
      </c>
      <c r="D330" s="9">
        <v>458.72727272727275</v>
      </c>
    </row>
    <row r="331" spans="2:15" x14ac:dyDescent="0.3">
      <c r="C331" s="7" t="s">
        <v>139</v>
      </c>
      <c r="D331" s="9">
        <v>504.36585365853659</v>
      </c>
    </row>
    <row r="334" spans="2:15" x14ac:dyDescent="0.3">
      <c r="B334" s="4">
        <v>21</v>
      </c>
      <c r="C334" s="4" t="s">
        <v>160</v>
      </c>
      <c r="D334" s="20"/>
    </row>
    <row r="335" spans="2:15" x14ac:dyDescent="0.3">
      <c r="C335" s="6" t="s">
        <v>140</v>
      </c>
      <c r="D335" s="6" t="s">
        <v>146</v>
      </c>
    </row>
    <row r="336" spans="2:15" x14ac:dyDescent="0.3">
      <c r="C336" s="6" t="s">
        <v>138</v>
      </c>
      <c r="D336" t="s">
        <v>41</v>
      </c>
      <c r="E336" t="s">
        <v>49</v>
      </c>
      <c r="F336" t="s">
        <v>26</v>
      </c>
      <c r="G336" t="s">
        <v>14</v>
      </c>
      <c r="H336" t="s">
        <v>20</v>
      </c>
      <c r="I336" t="s">
        <v>59</v>
      </c>
      <c r="J336" t="s">
        <v>37</v>
      </c>
      <c r="K336" t="s">
        <v>32</v>
      </c>
      <c r="L336" t="s">
        <v>7</v>
      </c>
      <c r="M336" t="s">
        <v>54</v>
      </c>
      <c r="N336" t="s">
        <v>45</v>
      </c>
      <c r="O336" t="s">
        <v>139</v>
      </c>
    </row>
    <row r="337" spans="2:15" x14ac:dyDescent="0.3">
      <c r="C337" s="7" t="s">
        <v>27</v>
      </c>
      <c r="D337" s="8">
        <v>777</v>
      </c>
      <c r="E337" s="8">
        <v>1453</v>
      </c>
      <c r="F337" s="8">
        <v>3289</v>
      </c>
      <c r="G337" s="8">
        <v>187</v>
      </c>
      <c r="H337" s="8">
        <v>989</v>
      </c>
      <c r="I337" s="8">
        <v>1857</v>
      </c>
      <c r="J337" s="8">
        <v>3399</v>
      </c>
      <c r="K337" s="8">
        <v>1431</v>
      </c>
      <c r="L337" s="8"/>
      <c r="M337" s="8">
        <v>2923</v>
      </c>
      <c r="N337" s="8">
        <v>2868</v>
      </c>
      <c r="O337" s="8">
        <v>19173</v>
      </c>
    </row>
    <row r="338" spans="2:15" x14ac:dyDescent="0.3">
      <c r="C338" s="7" t="s">
        <v>15</v>
      </c>
      <c r="D338" s="8">
        <v>356</v>
      </c>
      <c r="E338" s="8">
        <v>199</v>
      </c>
      <c r="F338" s="8"/>
      <c r="G338" s="8">
        <v>1527</v>
      </c>
      <c r="H338" s="8">
        <v>864</v>
      </c>
      <c r="I338" s="8">
        <v>2788</v>
      </c>
      <c r="J338" s="8">
        <v>1001</v>
      </c>
      <c r="K338" s="8">
        <v>1664</v>
      </c>
      <c r="L338" s="8"/>
      <c r="M338" s="8"/>
      <c r="N338" s="8">
        <v>288</v>
      </c>
      <c r="O338" s="8">
        <v>8687</v>
      </c>
    </row>
    <row r="339" spans="2:15" x14ac:dyDescent="0.3">
      <c r="C339" s="7" t="s">
        <v>8</v>
      </c>
      <c r="D339" s="8">
        <v>1166</v>
      </c>
      <c r="E339" s="8">
        <v>5666</v>
      </c>
      <c r="F339" s="8">
        <v>127</v>
      </c>
      <c r="G339" s="8">
        <v>541</v>
      </c>
      <c r="H339" s="8">
        <v>2961</v>
      </c>
      <c r="I339" s="8"/>
      <c r="J339" s="8">
        <v>699</v>
      </c>
      <c r="K339" s="8">
        <v>2259</v>
      </c>
      <c r="L339" s="8">
        <v>2992</v>
      </c>
      <c r="M339" s="8">
        <v>355</v>
      </c>
      <c r="N339" s="8">
        <v>186</v>
      </c>
      <c r="O339" s="8">
        <v>16952</v>
      </c>
    </row>
    <row r="340" spans="2:15" x14ac:dyDescent="0.3">
      <c r="C340" s="7" t="s">
        <v>21</v>
      </c>
      <c r="D340" s="8">
        <v>2423</v>
      </c>
      <c r="E340" s="8">
        <v>712</v>
      </c>
      <c r="F340" s="8">
        <v>1952</v>
      </c>
      <c r="G340" s="8">
        <v>2638</v>
      </c>
      <c r="H340" s="8">
        <v>3397</v>
      </c>
      <c r="I340" s="8"/>
      <c r="J340" s="8">
        <v>223</v>
      </c>
      <c r="K340" s="8">
        <v>223</v>
      </c>
      <c r="L340" s="8"/>
      <c r="M340" s="8">
        <v>3953</v>
      </c>
      <c r="N340" s="8">
        <v>1704</v>
      </c>
      <c r="O340" s="8">
        <v>17225</v>
      </c>
    </row>
    <row r="341" spans="2:15" x14ac:dyDescent="0.3">
      <c r="C341" s="7" t="s">
        <v>139</v>
      </c>
      <c r="D341" s="8">
        <v>4722</v>
      </c>
      <c r="E341" s="8">
        <v>8030</v>
      </c>
      <c r="F341" s="8">
        <v>5368</v>
      </c>
      <c r="G341" s="8">
        <v>4893</v>
      </c>
      <c r="H341" s="8">
        <v>8211</v>
      </c>
      <c r="I341" s="8">
        <v>4645</v>
      </c>
      <c r="J341" s="8">
        <v>5322</v>
      </c>
      <c r="K341" s="8">
        <v>5577</v>
      </c>
      <c r="L341" s="8">
        <v>2992</v>
      </c>
      <c r="M341" s="8">
        <v>7231</v>
      </c>
      <c r="N341" s="8">
        <v>5046</v>
      </c>
      <c r="O341" s="8">
        <v>62037</v>
      </c>
    </row>
    <row r="344" spans="2:15" x14ac:dyDescent="0.3">
      <c r="B344" s="4">
        <v>22</v>
      </c>
      <c r="C344" s="4" t="s">
        <v>161</v>
      </c>
      <c r="D344" s="20"/>
    </row>
    <row r="345" spans="2:15" x14ac:dyDescent="0.3">
      <c r="C345" s="6" t="s">
        <v>153</v>
      </c>
      <c r="D345" s="6" t="s">
        <v>146</v>
      </c>
    </row>
    <row r="346" spans="2:15" x14ac:dyDescent="0.3">
      <c r="C346" s="6" t="s">
        <v>138</v>
      </c>
      <c r="D346" t="s">
        <v>8</v>
      </c>
      <c r="E346" t="s">
        <v>139</v>
      </c>
    </row>
    <row r="347" spans="2:15" x14ac:dyDescent="0.3">
      <c r="C347" s="7" t="s">
        <v>81</v>
      </c>
      <c r="D347" s="8">
        <v>988</v>
      </c>
      <c r="E347" s="8">
        <v>988</v>
      </c>
    </row>
    <row r="348" spans="2:15" x14ac:dyDescent="0.3">
      <c r="C348" s="7" t="s">
        <v>139</v>
      </c>
      <c r="D348" s="8">
        <v>988</v>
      </c>
      <c r="E348" s="8">
        <v>988</v>
      </c>
    </row>
    <row r="351" spans="2:15" x14ac:dyDescent="0.3">
      <c r="B351" s="4">
        <v>24</v>
      </c>
      <c r="C351" t="s">
        <v>122</v>
      </c>
    </row>
    <row r="352" spans="2:15" x14ac:dyDescent="0.3">
      <c r="C352" t="s">
        <v>144</v>
      </c>
    </row>
    <row r="353" spans="2:4" x14ac:dyDescent="0.3">
      <c r="C353" s="8">
        <v>996527</v>
      </c>
    </row>
    <row r="356" spans="2:4" x14ac:dyDescent="0.3">
      <c r="B356" s="4">
        <v>25</v>
      </c>
      <c r="C356" t="s">
        <v>123</v>
      </c>
    </row>
    <row r="357" spans="2:4" x14ac:dyDescent="0.3">
      <c r="C357" s="6" t="s">
        <v>138</v>
      </c>
      <c r="D357" t="s">
        <v>140</v>
      </c>
    </row>
    <row r="358" spans="2:4" x14ac:dyDescent="0.3">
      <c r="C358" s="7" t="s">
        <v>27</v>
      </c>
      <c r="D358" s="8">
        <v>19173</v>
      </c>
    </row>
    <row r="359" spans="2:4" x14ac:dyDescent="0.3">
      <c r="C359" s="7" t="s">
        <v>15</v>
      </c>
      <c r="D359" s="8">
        <v>8687</v>
      </c>
    </row>
    <row r="360" spans="2:4" x14ac:dyDescent="0.3">
      <c r="C360" s="7" t="s">
        <v>8</v>
      </c>
      <c r="D360" s="8">
        <v>16952</v>
      </c>
    </row>
    <row r="361" spans="2:4" x14ac:dyDescent="0.3">
      <c r="C361" s="7" t="s">
        <v>21</v>
      </c>
      <c r="D361" s="8">
        <v>17225</v>
      </c>
    </row>
    <row r="362" spans="2:4" x14ac:dyDescent="0.3">
      <c r="C362" s="7" t="s">
        <v>139</v>
      </c>
      <c r="D362" s="8">
        <v>62037</v>
      </c>
    </row>
    <row r="365" spans="2:4" x14ac:dyDescent="0.3">
      <c r="B365" s="4">
        <v>26</v>
      </c>
      <c r="C365" t="s">
        <v>124</v>
      </c>
    </row>
    <row r="366" spans="2:4" x14ac:dyDescent="0.3">
      <c r="C366" t="s">
        <v>137</v>
      </c>
    </row>
    <row r="367" spans="2:4" x14ac:dyDescent="0.3">
      <c r="C367" s="8">
        <v>1775</v>
      </c>
    </row>
    <row r="370" spans="2:3" x14ac:dyDescent="0.3">
      <c r="B370" s="4">
        <v>27</v>
      </c>
      <c r="C370" t="s">
        <v>125</v>
      </c>
    </row>
    <row r="371" spans="2:3" x14ac:dyDescent="0.3">
      <c r="C371" s="6" t="s">
        <v>138</v>
      </c>
    </row>
    <row r="372" spans="2:3" x14ac:dyDescent="0.3">
      <c r="C372" s="7" t="s">
        <v>41</v>
      </c>
    </row>
    <row r="373" spans="2:3" x14ac:dyDescent="0.3">
      <c r="C373" s="7" t="s">
        <v>49</v>
      </c>
    </row>
    <row r="374" spans="2:3" x14ac:dyDescent="0.3">
      <c r="C374" s="7" t="s">
        <v>26</v>
      </c>
    </row>
    <row r="375" spans="2:3" x14ac:dyDescent="0.3">
      <c r="C375" s="7" t="s">
        <v>14</v>
      </c>
    </row>
    <row r="376" spans="2:3" x14ac:dyDescent="0.3">
      <c r="C376" s="7" t="s">
        <v>20</v>
      </c>
    </row>
    <row r="377" spans="2:3" x14ac:dyDescent="0.3">
      <c r="C377" s="7" t="s">
        <v>59</v>
      </c>
    </row>
    <row r="378" spans="2:3" x14ac:dyDescent="0.3">
      <c r="C378" s="7" t="s">
        <v>37</v>
      </c>
    </row>
    <row r="379" spans="2:3" x14ac:dyDescent="0.3">
      <c r="C379" s="7" t="s">
        <v>32</v>
      </c>
    </row>
    <row r="380" spans="2:3" x14ac:dyDescent="0.3">
      <c r="C380" s="7" t="s">
        <v>7</v>
      </c>
    </row>
    <row r="381" spans="2:3" x14ac:dyDescent="0.3">
      <c r="C381" s="7" t="s">
        <v>54</v>
      </c>
    </row>
    <row r="382" spans="2:3" x14ac:dyDescent="0.3">
      <c r="C382" s="7" t="s">
        <v>45</v>
      </c>
    </row>
    <row r="383" spans="2:3" x14ac:dyDescent="0.3">
      <c r="C383" s="7" t="s">
        <v>139</v>
      </c>
    </row>
    <row r="386" spans="2:3" x14ac:dyDescent="0.3">
      <c r="B386" s="4">
        <v>28</v>
      </c>
      <c r="C386" t="s">
        <v>126</v>
      </c>
    </row>
    <row r="387" spans="2:3" x14ac:dyDescent="0.3">
      <c r="C387" s="6" t="s">
        <v>138</v>
      </c>
    </row>
    <row r="388" spans="2:3" x14ac:dyDescent="0.3">
      <c r="C388" s="7" t="s">
        <v>82</v>
      </c>
    </row>
    <row r="389" spans="2:3" x14ac:dyDescent="0.3">
      <c r="C389" s="7" t="s">
        <v>9</v>
      </c>
    </row>
    <row r="390" spans="2:3" x14ac:dyDescent="0.3">
      <c r="C390" s="7" t="s">
        <v>93</v>
      </c>
    </row>
    <row r="391" spans="2:3" x14ac:dyDescent="0.3">
      <c r="C391" s="7" t="s">
        <v>10</v>
      </c>
    </row>
    <row r="392" spans="2:3" x14ac:dyDescent="0.3">
      <c r="C392" s="7" t="s">
        <v>38</v>
      </c>
    </row>
    <row r="393" spans="2:3" x14ac:dyDescent="0.3">
      <c r="C393" s="7" t="s">
        <v>43</v>
      </c>
    </row>
    <row r="394" spans="2:3" x14ac:dyDescent="0.3">
      <c r="C394" s="7" t="s">
        <v>81</v>
      </c>
    </row>
    <row r="395" spans="2:3" x14ac:dyDescent="0.3">
      <c r="C395" s="7" t="s">
        <v>11</v>
      </c>
    </row>
    <row r="396" spans="2:3" x14ac:dyDescent="0.3">
      <c r="C396" s="7" t="s">
        <v>64</v>
      </c>
    </row>
    <row r="397" spans="2:3" x14ac:dyDescent="0.3">
      <c r="C397" s="7" t="s">
        <v>55</v>
      </c>
    </row>
    <row r="398" spans="2:3" x14ac:dyDescent="0.3">
      <c r="C398" s="7" t="s">
        <v>71</v>
      </c>
    </row>
    <row r="399" spans="2:3" x14ac:dyDescent="0.3">
      <c r="C399" s="7" t="s">
        <v>98</v>
      </c>
    </row>
    <row r="400" spans="2:3" x14ac:dyDescent="0.3">
      <c r="C400" s="7" t="s">
        <v>83</v>
      </c>
    </row>
    <row r="401" spans="3:3" x14ac:dyDescent="0.3">
      <c r="C401" s="7" t="s">
        <v>39</v>
      </c>
    </row>
    <row r="402" spans="3:3" x14ac:dyDescent="0.3">
      <c r="C402" s="7" t="s">
        <v>75</v>
      </c>
    </row>
    <row r="403" spans="3:3" x14ac:dyDescent="0.3">
      <c r="C403" s="7" t="s">
        <v>67</v>
      </c>
    </row>
    <row r="404" spans="3:3" x14ac:dyDescent="0.3">
      <c r="C404" s="7" t="s">
        <v>92</v>
      </c>
    </row>
    <row r="405" spans="3:3" x14ac:dyDescent="0.3">
      <c r="C405" s="7" t="s">
        <v>25</v>
      </c>
    </row>
    <row r="406" spans="3:3" x14ac:dyDescent="0.3">
      <c r="C406" s="7" t="s">
        <v>90</v>
      </c>
    </row>
    <row r="407" spans="3:3" x14ac:dyDescent="0.3">
      <c r="C407" s="7" t="s">
        <v>61</v>
      </c>
    </row>
    <row r="408" spans="3:3" x14ac:dyDescent="0.3">
      <c r="C408" s="7" t="s">
        <v>56</v>
      </c>
    </row>
    <row r="409" spans="3:3" x14ac:dyDescent="0.3">
      <c r="C409" s="7" t="s">
        <v>12</v>
      </c>
    </row>
    <row r="410" spans="3:3" x14ac:dyDescent="0.3">
      <c r="C410" s="7" t="s">
        <v>42</v>
      </c>
    </row>
    <row r="411" spans="3:3" x14ac:dyDescent="0.3">
      <c r="C411" s="7" t="s">
        <v>40</v>
      </c>
    </row>
    <row r="412" spans="3:3" x14ac:dyDescent="0.3">
      <c r="C412" s="7" t="s">
        <v>94</v>
      </c>
    </row>
    <row r="413" spans="3:3" x14ac:dyDescent="0.3">
      <c r="C413" s="7" t="s">
        <v>44</v>
      </c>
    </row>
    <row r="414" spans="3:3" x14ac:dyDescent="0.3">
      <c r="C414" s="7" t="s">
        <v>13</v>
      </c>
    </row>
    <row r="415" spans="3:3" x14ac:dyDescent="0.3">
      <c r="C415" s="7" t="s">
        <v>87</v>
      </c>
    </row>
    <row r="416" spans="3:3" x14ac:dyDescent="0.3">
      <c r="C416" s="7" t="s">
        <v>58</v>
      </c>
    </row>
    <row r="417" spans="3:3" x14ac:dyDescent="0.3">
      <c r="C417" s="7" t="s">
        <v>79</v>
      </c>
    </row>
    <row r="418" spans="3:3" x14ac:dyDescent="0.3">
      <c r="C418" s="7" t="s">
        <v>16</v>
      </c>
    </row>
    <row r="419" spans="3:3" x14ac:dyDescent="0.3">
      <c r="C419" s="7" t="s">
        <v>19</v>
      </c>
    </row>
    <row r="420" spans="3:3" x14ac:dyDescent="0.3">
      <c r="C420" s="7" t="s">
        <v>97</v>
      </c>
    </row>
    <row r="421" spans="3:3" x14ac:dyDescent="0.3">
      <c r="C421" s="7" t="s">
        <v>95</v>
      </c>
    </row>
    <row r="422" spans="3:3" x14ac:dyDescent="0.3">
      <c r="C422" s="7" t="s">
        <v>72</v>
      </c>
    </row>
    <row r="423" spans="3:3" x14ac:dyDescent="0.3">
      <c r="C423" s="7" t="s">
        <v>51</v>
      </c>
    </row>
    <row r="424" spans="3:3" x14ac:dyDescent="0.3">
      <c r="C424" s="7" t="s">
        <v>22</v>
      </c>
    </row>
    <row r="425" spans="3:3" x14ac:dyDescent="0.3">
      <c r="C425" s="7" t="s">
        <v>62</v>
      </c>
    </row>
    <row r="426" spans="3:3" x14ac:dyDescent="0.3">
      <c r="C426" s="7" t="s">
        <v>91</v>
      </c>
    </row>
    <row r="427" spans="3:3" x14ac:dyDescent="0.3">
      <c r="C427" s="7" t="s">
        <v>28</v>
      </c>
    </row>
    <row r="428" spans="3:3" x14ac:dyDescent="0.3">
      <c r="C428" s="7" t="s">
        <v>47</v>
      </c>
    </row>
    <row r="429" spans="3:3" x14ac:dyDescent="0.3">
      <c r="C429" s="7" t="s">
        <v>77</v>
      </c>
    </row>
    <row r="430" spans="3:3" x14ac:dyDescent="0.3">
      <c r="C430" s="7" t="s">
        <v>85</v>
      </c>
    </row>
    <row r="431" spans="3:3" x14ac:dyDescent="0.3">
      <c r="C431" s="7" t="s">
        <v>33</v>
      </c>
    </row>
    <row r="432" spans="3:3" x14ac:dyDescent="0.3">
      <c r="C432" s="7" t="s">
        <v>17</v>
      </c>
    </row>
    <row r="433" spans="3:3" x14ac:dyDescent="0.3">
      <c r="C433" s="7" t="s">
        <v>68</v>
      </c>
    </row>
    <row r="434" spans="3:3" x14ac:dyDescent="0.3">
      <c r="C434" s="7" t="s">
        <v>31</v>
      </c>
    </row>
    <row r="435" spans="3:3" x14ac:dyDescent="0.3">
      <c r="C435" s="7" t="s">
        <v>23</v>
      </c>
    </row>
    <row r="436" spans="3:3" x14ac:dyDescent="0.3">
      <c r="C436" s="7" t="s">
        <v>65</v>
      </c>
    </row>
    <row r="437" spans="3:3" x14ac:dyDescent="0.3">
      <c r="C437" s="7" t="s">
        <v>57</v>
      </c>
    </row>
    <row r="438" spans="3:3" x14ac:dyDescent="0.3">
      <c r="C438" s="7" t="s">
        <v>70</v>
      </c>
    </row>
    <row r="439" spans="3:3" x14ac:dyDescent="0.3">
      <c r="C439" s="7" t="s">
        <v>60</v>
      </c>
    </row>
    <row r="440" spans="3:3" x14ac:dyDescent="0.3">
      <c r="C440" s="7" t="s">
        <v>74</v>
      </c>
    </row>
    <row r="441" spans="3:3" x14ac:dyDescent="0.3">
      <c r="C441" s="7" t="s">
        <v>29</v>
      </c>
    </row>
    <row r="442" spans="3:3" x14ac:dyDescent="0.3">
      <c r="C442" s="7" t="s">
        <v>36</v>
      </c>
    </row>
    <row r="443" spans="3:3" x14ac:dyDescent="0.3">
      <c r="C443" s="7" t="s">
        <v>34</v>
      </c>
    </row>
    <row r="444" spans="3:3" x14ac:dyDescent="0.3">
      <c r="C444" s="7" t="s">
        <v>73</v>
      </c>
    </row>
    <row r="445" spans="3:3" x14ac:dyDescent="0.3">
      <c r="C445" s="7" t="s">
        <v>52</v>
      </c>
    </row>
    <row r="446" spans="3:3" x14ac:dyDescent="0.3">
      <c r="C446" s="7" t="s">
        <v>18</v>
      </c>
    </row>
    <row r="447" spans="3:3" x14ac:dyDescent="0.3">
      <c r="C447" s="7" t="s">
        <v>88</v>
      </c>
    </row>
    <row r="448" spans="3:3" x14ac:dyDescent="0.3">
      <c r="C448" s="7" t="s">
        <v>24</v>
      </c>
    </row>
    <row r="449" spans="3:3" x14ac:dyDescent="0.3">
      <c r="C449" s="7" t="s">
        <v>96</v>
      </c>
    </row>
    <row r="450" spans="3:3" x14ac:dyDescent="0.3">
      <c r="C450" s="7" t="s">
        <v>63</v>
      </c>
    </row>
    <row r="451" spans="3:3" x14ac:dyDescent="0.3">
      <c r="C451" s="7" t="s">
        <v>89</v>
      </c>
    </row>
    <row r="452" spans="3:3" x14ac:dyDescent="0.3">
      <c r="C452" s="7" t="s">
        <v>48</v>
      </c>
    </row>
    <row r="453" spans="3:3" x14ac:dyDescent="0.3">
      <c r="C453" s="7" t="s">
        <v>30</v>
      </c>
    </row>
    <row r="454" spans="3:3" x14ac:dyDescent="0.3">
      <c r="C454" s="7" t="s">
        <v>84</v>
      </c>
    </row>
    <row r="455" spans="3:3" x14ac:dyDescent="0.3">
      <c r="C455" s="7" t="s">
        <v>35</v>
      </c>
    </row>
    <row r="456" spans="3:3" x14ac:dyDescent="0.3">
      <c r="C456" s="7" t="s">
        <v>69</v>
      </c>
    </row>
    <row r="457" spans="3:3" x14ac:dyDescent="0.3">
      <c r="C457" s="7" t="s">
        <v>86</v>
      </c>
    </row>
    <row r="458" spans="3:3" x14ac:dyDescent="0.3">
      <c r="C458" s="7" t="s">
        <v>80</v>
      </c>
    </row>
    <row r="459" spans="3:3" x14ac:dyDescent="0.3">
      <c r="C459" s="7" t="s">
        <v>50</v>
      </c>
    </row>
    <row r="460" spans="3:3" x14ac:dyDescent="0.3">
      <c r="C460" s="7" t="s">
        <v>66</v>
      </c>
    </row>
    <row r="461" spans="3:3" x14ac:dyDescent="0.3">
      <c r="C461" s="7" t="s">
        <v>100</v>
      </c>
    </row>
    <row r="462" spans="3:3" x14ac:dyDescent="0.3">
      <c r="C462" s="7" t="s">
        <v>46</v>
      </c>
    </row>
    <row r="463" spans="3:3" x14ac:dyDescent="0.3">
      <c r="C463" s="7" t="s">
        <v>53</v>
      </c>
    </row>
    <row r="464" spans="3:3" x14ac:dyDescent="0.3">
      <c r="C464" s="7" t="s">
        <v>78</v>
      </c>
    </row>
    <row r="465" spans="2:8" x14ac:dyDescent="0.3">
      <c r="C465" s="7" t="s">
        <v>76</v>
      </c>
    </row>
    <row r="466" spans="2:8" x14ac:dyDescent="0.3">
      <c r="C466" s="7" t="s">
        <v>99</v>
      </c>
    </row>
    <row r="467" spans="2:8" x14ac:dyDescent="0.3">
      <c r="C467" s="7" t="s">
        <v>139</v>
      </c>
    </row>
    <row r="470" spans="2:8" x14ac:dyDescent="0.3">
      <c r="B470" s="4">
        <v>29</v>
      </c>
      <c r="C470" t="s">
        <v>127</v>
      </c>
    </row>
    <row r="471" spans="2:8" x14ac:dyDescent="0.3">
      <c r="C471" s="6" t="s">
        <v>140</v>
      </c>
      <c r="D471" s="6" t="s">
        <v>146</v>
      </c>
    </row>
    <row r="472" spans="2:8" x14ac:dyDescent="0.3">
      <c r="C472" s="6" t="s">
        <v>138</v>
      </c>
      <c r="D472" t="s">
        <v>27</v>
      </c>
      <c r="E472" t="s">
        <v>15</v>
      </c>
      <c r="F472" t="s">
        <v>8</v>
      </c>
      <c r="G472" t="s">
        <v>21</v>
      </c>
      <c r="H472" t="s">
        <v>139</v>
      </c>
    </row>
    <row r="473" spans="2:8" x14ac:dyDescent="0.3">
      <c r="C473" s="7" t="s">
        <v>41</v>
      </c>
      <c r="D473" s="8">
        <v>777</v>
      </c>
      <c r="E473" s="8">
        <v>356</v>
      </c>
      <c r="F473" s="8">
        <v>1166</v>
      </c>
      <c r="G473" s="8">
        <v>2423</v>
      </c>
      <c r="H473" s="8">
        <v>4722</v>
      </c>
    </row>
    <row r="474" spans="2:8" x14ac:dyDescent="0.3">
      <c r="C474" s="7" t="s">
        <v>49</v>
      </c>
      <c r="D474" s="8">
        <v>1453</v>
      </c>
      <c r="E474" s="8">
        <v>199</v>
      </c>
      <c r="F474" s="8">
        <v>5666</v>
      </c>
      <c r="G474" s="8">
        <v>712</v>
      </c>
      <c r="H474" s="8">
        <v>8030</v>
      </c>
    </row>
    <row r="475" spans="2:8" x14ac:dyDescent="0.3">
      <c r="C475" s="7" t="s">
        <v>26</v>
      </c>
      <c r="D475" s="8">
        <v>3289</v>
      </c>
      <c r="E475" s="8"/>
      <c r="F475" s="8">
        <v>127</v>
      </c>
      <c r="G475" s="8">
        <v>1952</v>
      </c>
      <c r="H475" s="8">
        <v>5368</v>
      </c>
    </row>
    <row r="476" spans="2:8" x14ac:dyDescent="0.3">
      <c r="C476" s="7" t="s">
        <v>14</v>
      </c>
      <c r="D476" s="8">
        <v>187</v>
      </c>
      <c r="E476" s="8">
        <v>1527</v>
      </c>
      <c r="F476" s="8">
        <v>541</v>
      </c>
      <c r="G476" s="8">
        <v>2638</v>
      </c>
      <c r="H476" s="8">
        <v>4893</v>
      </c>
    </row>
    <row r="477" spans="2:8" x14ac:dyDescent="0.3">
      <c r="C477" s="7" t="s">
        <v>20</v>
      </c>
      <c r="D477" s="8">
        <v>989</v>
      </c>
      <c r="E477" s="8">
        <v>864</v>
      </c>
      <c r="F477" s="8">
        <v>2961</v>
      </c>
      <c r="G477" s="8">
        <v>3397</v>
      </c>
      <c r="H477" s="8">
        <v>8211</v>
      </c>
    </row>
    <row r="478" spans="2:8" x14ac:dyDescent="0.3">
      <c r="C478" s="7" t="s">
        <v>59</v>
      </c>
      <c r="D478" s="8">
        <v>1857</v>
      </c>
      <c r="E478" s="8">
        <v>2788</v>
      </c>
      <c r="F478" s="8"/>
      <c r="G478" s="8"/>
      <c r="H478" s="8">
        <v>4645</v>
      </c>
    </row>
    <row r="479" spans="2:8" x14ac:dyDescent="0.3">
      <c r="C479" s="7" t="s">
        <v>37</v>
      </c>
      <c r="D479" s="8">
        <v>3399</v>
      </c>
      <c r="E479" s="8">
        <v>1001</v>
      </c>
      <c r="F479" s="8">
        <v>699</v>
      </c>
      <c r="G479" s="8">
        <v>223</v>
      </c>
      <c r="H479" s="8">
        <v>5322</v>
      </c>
    </row>
    <row r="480" spans="2:8" x14ac:dyDescent="0.3">
      <c r="C480" s="7" t="s">
        <v>32</v>
      </c>
      <c r="D480" s="8">
        <v>1431</v>
      </c>
      <c r="E480" s="8">
        <v>1664</v>
      </c>
      <c r="F480" s="8">
        <v>2259</v>
      </c>
      <c r="G480" s="8">
        <v>223</v>
      </c>
      <c r="H480" s="8">
        <v>5577</v>
      </c>
    </row>
    <row r="481" spans="3:8" x14ac:dyDescent="0.3">
      <c r="C481" s="7" t="s">
        <v>7</v>
      </c>
      <c r="D481" s="8"/>
      <c r="E481" s="8"/>
      <c r="F481" s="8">
        <v>2992</v>
      </c>
      <c r="G481" s="8"/>
      <c r="H481" s="8">
        <v>2992</v>
      </c>
    </row>
    <row r="482" spans="3:8" x14ac:dyDescent="0.3">
      <c r="C482" s="7" t="s">
        <v>54</v>
      </c>
      <c r="D482" s="8">
        <v>2923</v>
      </c>
      <c r="E482" s="8"/>
      <c r="F482" s="8">
        <v>355</v>
      </c>
      <c r="G482" s="8">
        <v>3953</v>
      </c>
      <c r="H482" s="8">
        <v>7231</v>
      </c>
    </row>
    <row r="483" spans="3:8" x14ac:dyDescent="0.3">
      <c r="C483" s="7" t="s">
        <v>45</v>
      </c>
      <c r="D483" s="8">
        <v>2868</v>
      </c>
      <c r="E483" s="8">
        <v>288</v>
      </c>
      <c r="F483" s="8">
        <v>186</v>
      </c>
      <c r="G483" s="8">
        <v>1704</v>
      </c>
      <c r="H483" s="8">
        <v>5046</v>
      </c>
    </row>
    <row r="484" spans="3:8" x14ac:dyDescent="0.3">
      <c r="C484" s="7" t="s">
        <v>139</v>
      </c>
      <c r="D484" s="8">
        <v>19173</v>
      </c>
      <c r="E484" s="8">
        <v>8687</v>
      </c>
      <c r="F484" s="8">
        <v>16952</v>
      </c>
      <c r="G484" s="8">
        <v>17225</v>
      </c>
      <c r="H484" s="8">
        <v>62037</v>
      </c>
    </row>
  </sheetData>
  <mergeCells count="2">
    <mergeCell ref="C159:D159"/>
    <mergeCell ref="C175:D1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Case Study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Siddharth Vadgaonkar</cp:lastModifiedBy>
  <dcterms:created xsi:type="dcterms:W3CDTF">2024-01-16T06:46:50Z</dcterms:created>
  <dcterms:modified xsi:type="dcterms:W3CDTF">2026-01-04T10:32:24Z</dcterms:modified>
</cp:coreProperties>
</file>