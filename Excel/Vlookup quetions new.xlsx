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701E19B6-988C-49E9-AB9B-88DE071B4507}" xr6:coauthVersionLast="47" xr6:coauthVersionMax="47" xr10:uidLastSave="{00000000-0000-0000-0000-000000000000}"/>
  <bookViews>
    <workbookView xWindow="-108" yWindow="-108" windowWidth="23256" windowHeight="12456" activeTab="1" xr2:uid="{8C07D453-D60F-43C8-AA7D-456D49938740}"/>
  </bookViews>
  <sheets>
    <sheet name="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2" l="1"/>
  <c r="O15" i="2"/>
  <c r="O12" i="2"/>
  <c r="O9" i="2"/>
  <c r="O6" i="2"/>
  <c r="O3" i="2"/>
  <c r="J30" i="2"/>
  <c r="I30" i="2"/>
  <c r="J27" i="2"/>
  <c r="I27" i="2"/>
  <c r="I24" i="2"/>
  <c r="J21" i="2"/>
  <c r="I18" i="2"/>
  <c r="I21" i="2"/>
  <c r="I15" i="2"/>
  <c r="I12" i="2"/>
  <c r="I9" i="2"/>
  <c r="I6" i="2"/>
  <c r="I3" i="2"/>
</calcChain>
</file>

<file path=xl/sharedStrings.xml><?xml version="1.0" encoding="utf-8"?>
<sst xmlns="http://schemas.openxmlformats.org/spreadsheetml/2006/main" count="229" uniqueCount="123">
  <si>
    <t>BusID</t>
  </si>
  <si>
    <t>BusNumber</t>
  </si>
  <si>
    <t>DriverName</t>
  </si>
  <si>
    <t>Route</t>
  </si>
  <si>
    <t>Source</t>
  </si>
  <si>
    <t>Destination</t>
  </si>
  <si>
    <t>DepartureTime</t>
  </si>
  <si>
    <t>ArrivalTime</t>
  </si>
  <si>
    <t>TicketPrice</t>
  </si>
  <si>
    <t>BusType</t>
  </si>
  <si>
    <t>MH12AB101</t>
  </si>
  <si>
    <t>Rajesh Patil</t>
  </si>
  <si>
    <t>Pune-Mumbai</t>
  </si>
  <si>
    <t>Pune</t>
  </si>
  <si>
    <t>Mumbai</t>
  </si>
  <si>
    <t>AC</t>
  </si>
  <si>
    <t>MH14CD202</t>
  </si>
  <si>
    <t>Amit Sharma</t>
  </si>
  <si>
    <t>Mumbai-Nashik</t>
  </si>
  <si>
    <t>Nashik</t>
  </si>
  <si>
    <t>Non-AC</t>
  </si>
  <si>
    <t>MH01EF303</t>
  </si>
  <si>
    <t>Sneha Reddy</t>
  </si>
  <si>
    <t>Pune-Nagpur</t>
  </si>
  <si>
    <t>Nagpur</t>
  </si>
  <si>
    <t>Sleeper</t>
  </si>
  <si>
    <t>MH20GH404</t>
  </si>
  <si>
    <t>Arjun Khan</t>
  </si>
  <si>
    <t>Nashik-Pune</t>
  </si>
  <si>
    <t>MH15IJ505</t>
  </si>
  <si>
    <t>Pooja Mehta</t>
  </si>
  <si>
    <t>Mumbai-Pune</t>
  </si>
  <si>
    <t>MH18KL606</t>
  </si>
  <si>
    <t>Vikram Joshi</t>
  </si>
  <si>
    <t>Pune-Solapur</t>
  </si>
  <si>
    <t>Solapur</t>
  </si>
  <si>
    <t>MH22MN707</t>
  </si>
  <si>
    <t>Neha Gupta</t>
  </si>
  <si>
    <t>Solapur-Pune</t>
  </si>
  <si>
    <t>MH10OP808</t>
  </si>
  <si>
    <t>Karan Yadav</t>
  </si>
  <si>
    <t>Nagpur-Pune</t>
  </si>
  <si>
    <t>MH11QR909</t>
  </si>
  <si>
    <t>Anjali Nair</t>
  </si>
  <si>
    <t>MH16ST010</t>
  </si>
  <si>
    <t>Rahul Deshmukh</t>
  </si>
  <si>
    <t>Mumbai-Kolhapur</t>
  </si>
  <si>
    <t>Kolhapur</t>
  </si>
  <si>
    <t>MH19UV111</t>
  </si>
  <si>
    <t>Priya Patil</t>
  </si>
  <si>
    <t>Kolhapur-Mumbai</t>
  </si>
  <si>
    <t>MH17WX212</t>
  </si>
  <si>
    <t>Amit Joshi</t>
  </si>
  <si>
    <t>Pune-Aurangabad</t>
  </si>
  <si>
    <t>Aurangabad</t>
  </si>
  <si>
    <t>MH09YZ313</t>
  </si>
  <si>
    <t>Sneha Sharma</t>
  </si>
  <si>
    <t>Aurangabad-Pune</t>
  </si>
  <si>
    <t>MH21AA414</t>
  </si>
  <si>
    <t>Rohit Salve</t>
  </si>
  <si>
    <t>MH23BB515</t>
  </si>
  <si>
    <t>Om Magdum</t>
  </si>
  <si>
    <t>MH24CC616</t>
  </si>
  <si>
    <t>Ekta Kulkarni</t>
  </si>
  <si>
    <t>Nashik-Mumbai</t>
  </si>
  <si>
    <t>MH25DD717</t>
  </si>
  <si>
    <t>Manvi Kridutta</t>
  </si>
  <si>
    <t>MH26EE818</t>
  </si>
  <si>
    <t>Sayali Dhore</t>
  </si>
  <si>
    <t>MH27FF919</t>
  </si>
  <si>
    <t>Kavita More</t>
  </si>
  <si>
    <t>Mumbai-Satara</t>
  </si>
  <si>
    <t>Satara</t>
  </si>
  <si>
    <t>MH28GG020</t>
  </si>
  <si>
    <t>Deepak Jadhav</t>
  </si>
  <si>
    <t>Satara-Mumbai</t>
  </si>
  <si>
    <t>MH29HH121</t>
  </si>
  <si>
    <t>Suresh Pawar</t>
  </si>
  <si>
    <t>MH30II222</t>
  </si>
  <si>
    <t>Rekha Chavan</t>
  </si>
  <si>
    <t>Nagpur-Mumbai</t>
  </si>
  <si>
    <t>MH31JJ323</t>
  </si>
  <si>
    <t>Sachin Lokhande</t>
  </si>
  <si>
    <t>MH32KK424</t>
  </si>
  <si>
    <t>Asha Patil</t>
  </si>
  <si>
    <t>Pune-Nashik</t>
  </si>
  <si>
    <t>MH33LL525</t>
  </si>
  <si>
    <t>Ganesh More</t>
  </si>
  <si>
    <r>
      <t xml:space="preserve">1. Find the </t>
    </r>
    <r>
      <rPr>
        <b/>
        <sz val="11"/>
        <color theme="1"/>
        <rFont val="Calibri"/>
        <family val="2"/>
        <scheme val="minor"/>
      </rPr>
      <t>DriverName</t>
    </r>
    <r>
      <rPr>
        <sz val="11"/>
        <color theme="1"/>
        <rFont val="Calibri"/>
        <family val="2"/>
        <scheme val="minor"/>
      </rPr>
      <t xml:space="preserve"> for BusID = 12.</t>
    </r>
  </si>
  <si>
    <r>
      <t xml:space="preserve">2. Retrieve the </t>
    </r>
    <r>
      <rPr>
        <b/>
        <sz val="11"/>
        <color theme="1"/>
        <rFont val="Calibri"/>
        <family val="2"/>
        <scheme val="minor"/>
      </rPr>
      <t>Route</t>
    </r>
    <r>
      <rPr>
        <sz val="11"/>
        <color theme="1"/>
        <rFont val="Calibri"/>
        <family val="2"/>
        <scheme val="minor"/>
      </rPr>
      <t xml:space="preserve"> for BusID = 5.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</si>
  <si>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TicketPrice</t>
    </r>
    <r>
      <rPr>
        <sz val="11"/>
        <color theme="1"/>
        <rFont val="Calibri"/>
        <family val="2"/>
        <scheme val="minor"/>
      </rPr>
      <t xml:space="preserve"> for BusID = 22.</t>
    </r>
  </si>
  <si>
    <r>
      <t xml:space="preserve">4. Retrieve the </t>
    </r>
    <r>
      <rPr>
        <b/>
        <sz val="11"/>
        <color theme="1"/>
        <rFont val="Calibri"/>
        <family val="2"/>
        <scheme val="minor"/>
      </rPr>
      <t>BusType</t>
    </r>
    <r>
      <rPr>
        <sz val="11"/>
        <color theme="1"/>
        <rFont val="Calibri"/>
        <family val="2"/>
        <scheme val="minor"/>
      </rPr>
      <t xml:space="preserve"> for BusID = 3.</t>
    </r>
  </si>
  <si>
    <r>
      <t xml:space="preserve">5. Find the </t>
    </r>
    <r>
      <rPr>
        <b/>
        <sz val="11"/>
        <color theme="1"/>
        <rFont val="Calibri"/>
        <family val="2"/>
        <scheme val="minor"/>
      </rPr>
      <t>DepartureTime</t>
    </r>
    <r>
      <rPr>
        <sz val="11"/>
        <color theme="1"/>
        <rFont val="Calibri"/>
        <family val="2"/>
        <scheme val="minor"/>
      </rPr>
      <t xml:space="preserve"> for BusID = 15.</t>
    </r>
  </si>
  <si>
    <r>
      <t xml:space="preserve">6. Retrieve the </t>
    </r>
    <r>
      <rPr>
        <b/>
        <sz val="11"/>
        <color theme="1"/>
        <rFont val="Calibri"/>
        <family val="2"/>
        <scheme val="minor"/>
      </rPr>
      <t>ArrivalTime</t>
    </r>
    <r>
      <rPr>
        <sz val="11"/>
        <color theme="1"/>
        <rFont val="Calibri"/>
        <family val="2"/>
        <scheme val="minor"/>
      </rPr>
      <t xml:space="preserve"> for BusID = 10.</t>
    </r>
  </si>
  <si>
    <r>
      <t xml:space="preserve">7. Find the </t>
    </r>
    <r>
      <rPr>
        <b/>
        <sz val="11"/>
        <color theme="1"/>
        <rFont val="Calibri"/>
        <family val="2"/>
        <scheme val="minor"/>
      </rPr>
      <t>Source and Destination</t>
    </r>
    <r>
      <rPr>
        <sz val="11"/>
        <color theme="1"/>
        <rFont val="Calibri"/>
        <family val="2"/>
        <scheme val="minor"/>
      </rPr>
      <t xml:space="preserve"> for BusID = 24.</t>
    </r>
  </si>
  <si>
    <r>
      <t xml:space="preserve">8. Retrieve the </t>
    </r>
    <r>
      <rPr>
        <b/>
        <sz val="11"/>
        <color theme="1"/>
        <rFont val="Calibri"/>
        <family val="2"/>
        <scheme val="minor"/>
      </rPr>
      <t>BusNumber</t>
    </r>
    <r>
      <rPr>
        <sz val="11"/>
        <color theme="1"/>
        <rFont val="Calibri"/>
        <family val="2"/>
        <scheme val="minor"/>
      </rPr>
      <t xml:space="preserve"> for BusID = 8.</t>
    </r>
  </si>
  <si>
    <r>
      <t xml:space="preserve">9. Find the </t>
    </r>
    <r>
      <rPr>
        <b/>
        <sz val="11"/>
        <color theme="1"/>
        <rFont val="Calibri"/>
        <family val="2"/>
        <scheme val="minor"/>
      </rPr>
      <t>TicketPrice and BusType</t>
    </r>
    <r>
      <rPr>
        <sz val="11"/>
        <color theme="1"/>
        <rFont val="Calibri"/>
        <family val="2"/>
        <scheme val="minor"/>
      </rPr>
      <t xml:space="preserve"> for BusID = 21.</t>
    </r>
  </si>
  <si>
    <r>
      <t xml:space="preserve">10. Retrieve the </t>
    </r>
    <r>
      <rPr>
        <b/>
        <sz val="11"/>
        <color theme="1"/>
        <rFont val="Calibri"/>
        <family val="2"/>
        <scheme val="minor"/>
      </rPr>
      <t>DriverName and Route</t>
    </r>
    <r>
      <rPr>
        <sz val="11"/>
        <color theme="1"/>
        <rFont val="Calibri"/>
        <family val="2"/>
        <scheme val="minor"/>
      </rPr>
      <t xml:space="preserve"> for BusID = 18.</t>
    </r>
  </si>
  <si>
    <r>
      <t xml:space="preserve">11. Using BusNumber = "MH14CD202", find the </t>
    </r>
    <r>
      <rPr>
        <b/>
        <sz val="11"/>
        <color theme="1"/>
        <rFont val="Calibri"/>
        <family val="2"/>
        <scheme val="minor"/>
      </rPr>
      <t>DriverName</t>
    </r>
    <r>
      <rPr>
        <sz val="11"/>
        <color theme="1"/>
        <rFont val="Calibri"/>
        <family val="2"/>
        <scheme val="minor"/>
      </rPr>
      <t>.</t>
    </r>
  </si>
  <si>
    <r>
      <t xml:space="preserve">12. Using BusNumber = "MH28GG020", retrieve the </t>
    </r>
    <r>
      <rPr>
        <b/>
        <sz val="11"/>
        <color theme="1"/>
        <rFont val="Calibri"/>
        <family val="2"/>
        <scheme val="minor"/>
      </rPr>
      <t>Route</t>
    </r>
    <r>
      <rPr>
        <sz val="11"/>
        <color theme="1"/>
        <rFont val="Calibri"/>
        <family val="2"/>
        <scheme val="minor"/>
      </rPr>
      <t>.</t>
    </r>
  </si>
  <si>
    <r>
      <t xml:space="preserve">13. Using BusNumber = "MH10OP808", find the </t>
    </r>
    <r>
      <rPr>
        <b/>
        <sz val="11"/>
        <color theme="1"/>
        <rFont val="Calibri"/>
        <family val="2"/>
        <scheme val="minor"/>
      </rPr>
      <t>TicketPrice</t>
    </r>
    <r>
      <rPr>
        <sz val="11"/>
        <color theme="1"/>
        <rFont val="Calibri"/>
        <family val="2"/>
        <scheme val="minor"/>
      </rPr>
      <t>.</t>
    </r>
  </si>
  <si>
    <r>
      <t xml:space="preserve">14. Using BusNumber = "MH25DD717", retrieve the </t>
    </r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.</t>
    </r>
  </si>
  <si>
    <r>
      <t xml:space="preserve">15. Using BusNumber = "MH31JJ323", find the </t>
    </r>
    <r>
      <rPr>
        <b/>
        <sz val="11"/>
        <color theme="1"/>
        <rFont val="Calibri"/>
        <family val="2"/>
        <scheme val="minor"/>
      </rPr>
      <t>Destination and BusType</t>
    </r>
    <r>
      <rPr>
        <sz val="11"/>
        <color theme="1"/>
        <rFont val="Calibri"/>
        <family val="2"/>
        <scheme val="minor"/>
      </rPr>
      <t>.</t>
    </r>
  </si>
  <si>
    <r>
      <t xml:space="preserve">1. Convert all </t>
    </r>
    <r>
      <rPr>
        <b/>
        <sz val="11"/>
        <color theme="1"/>
        <rFont val="Calibri"/>
        <family val="2"/>
        <scheme val="minor"/>
      </rPr>
      <t>DriverName</t>
    </r>
    <r>
      <rPr>
        <sz val="11"/>
        <color theme="1"/>
        <rFont val="Calibri"/>
        <family val="2"/>
        <scheme val="minor"/>
      </rPr>
      <t xml:space="preserve"> values into </t>
    </r>
    <r>
      <rPr>
        <b/>
        <sz val="11"/>
        <color theme="1"/>
        <rFont val="Calibri"/>
        <family val="2"/>
        <scheme val="minor"/>
      </rPr>
      <t>UPPERCASE</t>
    </r>
    <r>
      <rPr>
        <sz val="11"/>
        <color theme="1"/>
        <rFont val="Calibri"/>
        <family val="2"/>
        <scheme val="minor"/>
      </rPr>
      <t>.</t>
    </r>
  </si>
  <si>
    <r>
      <t xml:space="preserve">2. Convert all </t>
    </r>
    <r>
      <rPr>
        <b/>
        <sz val="11"/>
        <color theme="1"/>
        <rFont val="Calibri"/>
        <family val="2"/>
        <scheme val="minor"/>
      </rPr>
      <t>Route</t>
    </r>
    <r>
      <rPr>
        <sz val="11"/>
        <color theme="1"/>
        <rFont val="Calibri"/>
        <family val="2"/>
        <scheme val="minor"/>
      </rPr>
      <t xml:space="preserve"> names into </t>
    </r>
    <r>
      <rPr>
        <b/>
        <sz val="11"/>
        <color theme="1"/>
        <rFont val="Calibri"/>
        <family val="2"/>
        <scheme val="minor"/>
      </rPr>
      <t>lowercase</t>
    </r>
    <r>
      <rPr>
        <sz val="11"/>
        <color theme="1"/>
        <rFont val="Calibri"/>
        <family val="2"/>
        <scheme val="minor"/>
      </rPr>
      <t>.</t>
    </r>
  </si>
  <si>
    <r>
      <t xml:space="preserve">3. Assume there are extra spaces in DriverName — remove them using </t>
    </r>
    <r>
      <rPr>
        <b/>
        <sz val="11"/>
        <color theme="1"/>
        <rFont val="Calibri"/>
        <family val="2"/>
        <scheme val="minor"/>
      </rPr>
      <t>TRIM</t>
    </r>
    <r>
      <rPr>
        <sz val="11"/>
        <color theme="1"/>
        <rFont val="Calibri"/>
        <family val="2"/>
        <scheme val="minor"/>
      </rPr>
      <t>.</t>
    </r>
  </si>
  <si>
    <r>
      <t xml:space="preserve">4. Convert TicketPrice into currency format using </t>
    </r>
    <r>
      <rPr>
        <b/>
        <sz val="11"/>
        <color theme="1"/>
        <rFont val="Calibri"/>
        <family val="2"/>
        <scheme val="minor"/>
      </rPr>
      <t>TEXT function</t>
    </r>
    <r>
      <rPr>
        <sz val="11"/>
        <color theme="1"/>
        <rFont val="Calibri"/>
        <family val="2"/>
        <scheme val="minor"/>
      </rPr>
      <t>.</t>
    </r>
  </si>
  <si>
    <r>
      <t xml:space="preserve">5. Extract only the month from DepartureTime using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>.</t>
    </r>
  </si>
  <si>
    <r>
      <t xml:space="preserve">6. Combine Source and Destination in uppercase using </t>
    </r>
    <r>
      <rPr>
        <b/>
        <sz val="11"/>
        <color theme="1"/>
        <rFont val="Calibri"/>
        <family val="2"/>
        <scheme val="minor"/>
      </rPr>
      <t>UPPER + CONCAT</t>
    </r>
    <r>
      <rPr>
        <sz val="11"/>
        <color theme="1"/>
        <rFont val="Calibri"/>
        <family val="2"/>
        <scheme val="minor"/>
      </rPr>
      <t>.</t>
    </r>
  </si>
  <si>
    <t>7. Convert BusNumber into lowercase format.</t>
  </si>
  <si>
    <t>8. Display TicketPrice with ₹ symbol using TEXT function.</t>
  </si>
  <si>
    <t>9. Remove extra spaces from Route column and convert to Proper Case.</t>
  </si>
  <si>
    <t>10. Convert ArrivalTime into 12-hour format using TEXT function.</t>
  </si>
  <si>
    <t>Mixed Excel Function Questions (TRIM, UPPER, LOWER, TEXT)</t>
  </si>
  <si>
    <t>BusId</t>
  </si>
  <si>
    <t>BusTYpe</t>
  </si>
  <si>
    <t>BUsNumber</t>
  </si>
  <si>
    <t>Busnumber</t>
  </si>
  <si>
    <t>Bustype</t>
  </si>
  <si>
    <t>Upper</t>
  </si>
  <si>
    <t>Lower</t>
  </si>
  <si>
    <t>Text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</si>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</sst>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2"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99B7B-404E-4293-AEC5-5D12140B9524}" name="BusInfo" displayName="BusInfo" ref="A1:J26" totalsRowShown="0">
  <autoFilter ref="A1:J26" xr:uid="{CAC99B7B-404E-4293-AEC5-5D12140B9524}"/>
  <tableColumns count="10">
    <tableColumn id="1" xr3:uid="{DE974B71-5C49-435E-97EB-395372FBA698}" name="BusID"/>
    <tableColumn id="2" xr3:uid="{EB2756C1-AA79-4FA8-893C-D4F89B32511E}" name="BusNumber"/>
    <tableColumn id="3" xr3:uid="{328F811D-3DF4-4B4E-83CF-DE74ED54F688}" name="DriverName"/>
    <tableColumn id="4" xr3:uid="{0B2AA9D1-18A4-453D-957D-28BF36D29C82}" name="Route"/>
    <tableColumn id="5" xr3:uid="{ECEC1969-3D85-4056-A15A-053FBCAFC3E8}" name="Source"/>
    <tableColumn id="6" xr3:uid="{4FD644A3-4FA3-4124-B8A7-1607CF40DB59}" name="Destination"/>
    <tableColumn id="7" xr3:uid="{64F8065F-294C-4622-B7B8-2EDE1D93697E}" name="DepartureTime" dataDxfId="1"/>
    <tableColumn id="8" xr3:uid="{D485B3D9-ACC8-485F-824A-8EB68578B37A}" name="ArrivalTime" dataDxfId="0"/>
    <tableColumn id="9" xr3:uid="{8F370F54-05F4-449C-8321-C6218F6FCEE2}" name="TicketPrice"/>
    <tableColumn id="10" xr3:uid="{F2C0D75E-879D-41DD-9F7F-7C5F76161D1D}" name="Bus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4F5-105B-46B9-8A24-23492AFB46C0}">
  <dimension ref="A1:J26"/>
  <sheetViews>
    <sheetView workbookViewId="0">
      <selection activeCell="B1" sqref="B1"/>
    </sheetView>
  </sheetViews>
  <sheetFormatPr defaultRowHeight="14.4" x14ac:dyDescent="0.3"/>
  <cols>
    <col min="1" max="1" width="7.6640625" customWidth="1"/>
    <col min="2" max="2" width="12.77734375" customWidth="1"/>
    <col min="3" max="3" width="14.6640625" bestFit="1" customWidth="1"/>
    <col min="4" max="4" width="15.6640625" bestFit="1" customWidth="1"/>
    <col min="5" max="5" width="10.6640625" bestFit="1" customWidth="1"/>
    <col min="6" max="6" width="12.44140625" customWidth="1"/>
    <col min="7" max="7" width="15.44140625" customWidth="1"/>
    <col min="8" max="8" width="12.44140625" customWidth="1"/>
    <col min="9" max="9" width="12" customWidth="1"/>
    <col min="10" max="10" width="1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0.25</v>
      </c>
      <c r="H2" s="1">
        <v>0.39583333333333331</v>
      </c>
      <c r="I2">
        <v>450</v>
      </c>
      <c r="J2" t="s">
        <v>15</v>
      </c>
    </row>
    <row r="3" spans="1:10" x14ac:dyDescent="0.3">
      <c r="A3">
        <v>2</v>
      </c>
      <c r="B3" t="s">
        <v>16</v>
      </c>
      <c r="C3" t="s">
        <v>17</v>
      </c>
      <c r="D3" t="s">
        <v>18</v>
      </c>
      <c r="E3" t="s">
        <v>14</v>
      </c>
      <c r="F3" t="s">
        <v>19</v>
      </c>
      <c r="G3" s="1">
        <v>0.29166666666666669</v>
      </c>
      <c r="H3" s="1">
        <v>0.45833333333333331</v>
      </c>
      <c r="I3">
        <v>500</v>
      </c>
      <c r="J3" t="s">
        <v>20</v>
      </c>
    </row>
    <row r="4" spans="1:10" x14ac:dyDescent="0.3">
      <c r="A4">
        <v>3</v>
      </c>
      <c r="B4" t="s">
        <v>21</v>
      </c>
      <c r="C4" t="s">
        <v>22</v>
      </c>
      <c r="D4" t="s">
        <v>23</v>
      </c>
      <c r="E4" t="s">
        <v>13</v>
      </c>
      <c r="F4" t="s">
        <v>24</v>
      </c>
      <c r="G4" s="1">
        <v>0.22916666666666666</v>
      </c>
      <c r="H4" s="1">
        <v>0.625</v>
      </c>
      <c r="I4">
        <v>1200</v>
      </c>
      <c r="J4" t="s">
        <v>25</v>
      </c>
    </row>
    <row r="5" spans="1:10" x14ac:dyDescent="0.3">
      <c r="A5">
        <v>4</v>
      </c>
      <c r="B5" t="s">
        <v>26</v>
      </c>
      <c r="C5" t="s">
        <v>27</v>
      </c>
      <c r="D5" t="s">
        <v>28</v>
      </c>
      <c r="E5" t="s">
        <v>19</v>
      </c>
      <c r="F5" t="s">
        <v>13</v>
      </c>
      <c r="G5" s="1">
        <v>0.33333333333333331</v>
      </c>
      <c r="H5" s="1">
        <v>0.5</v>
      </c>
      <c r="I5">
        <v>480</v>
      </c>
      <c r="J5" t="s">
        <v>15</v>
      </c>
    </row>
    <row r="6" spans="1:10" x14ac:dyDescent="0.3">
      <c r="A6">
        <v>5</v>
      </c>
      <c r="B6" t="s">
        <v>29</v>
      </c>
      <c r="C6" t="s">
        <v>30</v>
      </c>
      <c r="D6" t="s">
        <v>31</v>
      </c>
      <c r="E6" t="s">
        <v>14</v>
      </c>
      <c r="F6" t="s">
        <v>13</v>
      </c>
      <c r="G6" s="1">
        <v>0.375</v>
      </c>
      <c r="H6" s="1">
        <v>0.52083333333333337</v>
      </c>
      <c r="I6">
        <v>450</v>
      </c>
      <c r="J6" t="s">
        <v>15</v>
      </c>
    </row>
    <row r="7" spans="1:10" x14ac:dyDescent="0.3">
      <c r="A7">
        <v>6</v>
      </c>
      <c r="B7" t="s">
        <v>32</v>
      </c>
      <c r="C7" t="s">
        <v>33</v>
      </c>
      <c r="D7" t="s">
        <v>34</v>
      </c>
      <c r="E7" t="s">
        <v>13</v>
      </c>
      <c r="F7" t="s">
        <v>35</v>
      </c>
      <c r="G7" s="1">
        <v>0.28125</v>
      </c>
      <c r="H7" s="1">
        <v>0.44791666666666669</v>
      </c>
      <c r="I7">
        <v>350</v>
      </c>
      <c r="J7" t="s">
        <v>20</v>
      </c>
    </row>
    <row r="8" spans="1:10" x14ac:dyDescent="0.3">
      <c r="A8">
        <v>7</v>
      </c>
      <c r="B8" t="s">
        <v>36</v>
      </c>
      <c r="C8" t="s">
        <v>37</v>
      </c>
      <c r="D8" t="s">
        <v>38</v>
      </c>
      <c r="E8" t="s">
        <v>35</v>
      </c>
      <c r="F8" t="s">
        <v>13</v>
      </c>
      <c r="G8" s="1">
        <v>0.58333333333333337</v>
      </c>
      <c r="H8" s="1">
        <v>0.75</v>
      </c>
      <c r="I8">
        <v>350</v>
      </c>
      <c r="J8" t="s">
        <v>20</v>
      </c>
    </row>
    <row r="9" spans="1:10" x14ac:dyDescent="0.3">
      <c r="A9">
        <v>8</v>
      </c>
      <c r="B9" t="s">
        <v>39</v>
      </c>
      <c r="C9" t="s">
        <v>40</v>
      </c>
      <c r="D9" t="s">
        <v>41</v>
      </c>
      <c r="E9" t="s">
        <v>24</v>
      </c>
      <c r="F9" t="s">
        <v>13</v>
      </c>
      <c r="G9" s="1">
        <v>0.66666666666666663</v>
      </c>
      <c r="H9" s="1">
        <v>4.1666666666666664E-2</v>
      </c>
      <c r="I9">
        <v>1200</v>
      </c>
      <c r="J9" t="s">
        <v>25</v>
      </c>
    </row>
    <row r="10" spans="1:10" x14ac:dyDescent="0.3">
      <c r="A10">
        <v>9</v>
      </c>
      <c r="B10" t="s">
        <v>42</v>
      </c>
      <c r="C10" t="s">
        <v>43</v>
      </c>
      <c r="D10" t="s">
        <v>12</v>
      </c>
      <c r="E10" t="s">
        <v>13</v>
      </c>
      <c r="F10" t="s">
        <v>14</v>
      </c>
      <c r="G10" s="1">
        <v>0.75</v>
      </c>
      <c r="H10" s="1">
        <v>0.89583333333333337</v>
      </c>
      <c r="I10">
        <v>500</v>
      </c>
      <c r="J10" t="s">
        <v>15</v>
      </c>
    </row>
    <row r="11" spans="1:10" x14ac:dyDescent="0.3">
      <c r="A11">
        <v>10</v>
      </c>
      <c r="B11" t="s">
        <v>44</v>
      </c>
      <c r="C11" t="s">
        <v>45</v>
      </c>
      <c r="D11" t="s">
        <v>46</v>
      </c>
      <c r="E11" t="s">
        <v>14</v>
      </c>
      <c r="F11" t="s">
        <v>47</v>
      </c>
      <c r="G11" s="1">
        <v>0.20833333333333334</v>
      </c>
      <c r="H11" s="1">
        <v>0.54166666666666663</v>
      </c>
      <c r="I11">
        <v>900</v>
      </c>
      <c r="J11" t="s">
        <v>25</v>
      </c>
    </row>
    <row r="12" spans="1:10" x14ac:dyDescent="0.3">
      <c r="A12">
        <v>11</v>
      </c>
      <c r="B12" t="s">
        <v>48</v>
      </c>
      <c r="C12" t="s">
        <v>49</v>
      </c>
      <c r="D12" t="s">
        <v>50</v>
      </c>
      <c r="E12" t="s">
        <v>47</v>
      </c>
      <c r="F12" t="s">
        <v>14</v>
      </c>
      <c r="G12" s="1">
        <v>0.60416666666666663</v>
      </c>
      <c r="H12" s="1">
        <v>0.9375</v>
      </c>
      <c r="I12">
        <v>900</v>
      </c>
      <c r="J12" t="s">
        <v>25</v>
      </c>
    </row>
    <row r="13" spans="1:10" x14ac:dyDescent="0.3">
      <c r="A13">
        <v>12</v>
      </c>
      <c r="B13" t="s">
        <v>51</v>
      </c>
      <c r="C13" t="s">
        <v>52</v>
      </c>
      <c r="D13" t="s">
        <v>53</v>
      </c>
      <c r="E13" t="s">
        <v>13</v>
      </c>
      <c r="F13" t="s">
        <v>54</v>
      </c>
      <c r="G13" s="1">
        <v>0.30208333333333331</v>
      </c>
      <c r="H13" s="1">
        <v>0.51041666666666663</v>
      </c>
      <c r="I13">
        <v>600</v>
      </c>
      <c r="J13" t="s">
        <v>15</v>
      </c>
    </row>
    <row r="14" spans="1:10" x14ac:dyDescent="0.3">
      <c r="A14">
        <v>13</v>
      </c>
      <c r="B14" t="s">
        <v>55</v>
      </c>
      <c r="C14" t="s">
        <v>56</v>
      </c>
      <c r="D14" t="s">
        <v>57</v>
      </c>
      <c r="E14" t="s">
        <v>54</v>
      </c>
      <c r="F14" t="s">
        <v>13</v>
      </c>
      <c r="G14" s="1">
        <v>0.54166666666666663</v>
      </c>
      <c r="H14" s="1">
        <v>0.75</v>
      </c>
      <c r="I14">
        <v>600</v>
      </c>
      <c r="J14" t="s">
        <v>15</v>
      </c>
    </row>
    <row r="15" spans="1:10" x14ac:dyDescent="0.3">
      <c r="A15">
        <v>14</v>
      </c>
      <c r="B15" t="s">
        <v>58</v>
      </c>
      <c r="C15" t="s">
        <v>59</v>
      </c>
      <c r="D15" t="s">
        <v>31</v>
      </c>
      <c r="E15" t="s">
        <v>14</v>
      </c>
      <c r="F15" t="s">
        <v>13</v>
      </c>
      <c r="G15" s="1">
        <v>0.79166666666666663</v>
      </c>
      <c r="H15" s="1">
        <v>0.9375</v>
      </c>
      <c r="I15">
        <v>480</v>
      </c>
      <c r="J15" t="s">
        <v>20</v>
      </c>
    </row>
    <row r="16" spans="1:10" x14ac:dyDescent="0.3">
      <c r="A16">
        <v>15</v>
      </c>
      <c r="B16" t="s">
        <v>60</v>
      </c>
      <c r="C16" t="s">
        <v>61</v>
      </c>
      <c r="D16" t="s">
        <v>12</v>
      </c>
      <c r="E16" t="s">
        <v>13</v>
      </c>
      <c r="F16" t="s">
        <v>14</v>
      </c>
      <c r="G16" s="1">
        <v>0.91666666666666663</v>
      </c>
      <c r="H16" s="1">
        <v>6.25E-2</v>
      </c>
      <c r="I16">
        <v>550</v>
      </c>
      <c r="J16" t="s">
        <v>25</v>
      </c>
    </row>
    <row r="17" spans="1:10" x14ac:dyDescent="0.3">
      <c r="A17">
        <v>16</v>
      </c>
      <c r="B17" t="s">
        <v>62</v>
      </c>
      <c r="C17" t="s">
        <v>63</v>
      </c>
      <c r="D17" t="s">
        <v>64</v>
      </c>
      <c r="E17" t="s">
        <v>19</v>
      </c>
      <c r="F17" t="s">
        <v>14</v>
      </c>
      <c r="G17" s="1">
        <v>0.27083333333333331</v>
      </c>
      <c r="H17" s="1">
        <v>0.4375</v>
      </c>
      <c r="I17">
        <v>520</v>
      </c>
      <c r="J17" t="s">
        <v>15</v>
      </c>
    </row>
    <row r="18" spans="1:10" x14ac:dyDescent="0.3">
      <c r="A18">
        <v>17</v>
      </c>
      <c r="B18" t="s">
        <v>65</v>
      </c>
      <c r="C18" t="s">
        <v>66</v>
      </c>
      <c r="D18" t="s">
        <v>18</v>
      </c>
      <c r="E18" t="s">
        <v>14</v>
      </c>
      <c r="F18" t="s">
        <v>19</v>
      </c>
      <c r="G18" s="1">
        <v>0.625</v>
      </c>
      <c r="H18" s="1">
        <v>0.79166666666666663</v>
      </c>
      <c r="I18">
        <v>500</v>
      </c>
      <c r="J18" t="s">
        <v>20</v>
      </c>
    </row>
    <row r="19" spans="1:10" x14ac:dyDescent="0.3">
      <c r="A19">
        <v>18</v>
      </c>
      <c r="B19" t="s">
        <v>67</v>
      </c>
      <c r="C19" t="s">
        <v>68</v>
      </c>
      <c r="D19" t="s">
        <v>12</v>
      </c>
      <c r="E19" t="s">
        <v>13</v>
      </c>
      <c r="F19" t="s">
        <v>14</v>
      </c>
      <c r="G19" s="1">
        <v>0.41666666666666669</v>
      </c>
      <c r="H19" s="1">
        <v>0.5625</v>
      </c>
      <c r="I19">
        <v>450</v>
      </c>
      <c r="J19" t="s">
        <v>15</v>
      </c>
    </row>
    <row r="20" spans="1:10" x14ac:dyDescent="0.3">
      <c r="A20">
        <v>19</v>
      </c>
      <c r="B20" t="s">
        <v>69</v>
      </c>
      <c r="C20" t="s">
        <v>70</v>
      </c>
      <c r="D20" t="s">
        <v>71</v>
      </c>
      <c r="E20" t="s">
        <v>14</v>
      </c>
      <c r="F20" t="s">
        <v>72</v>
      </c>
      <c r="G20" s="1">
        <v>0.45833333333333331</v>
      </c>
      <c r="H20" s="1">
        <v>0.66666666666666663</v>
      </c>
      <c r="I20">
        <v>650</v>
      </c>
      <c r="J20" t="s">
        <v>15</v>
      </c>
    </row>
    <row r="21" spans="1:10" x14ac:dyDescent="0.3">
      <c r="A21">
        <v>20</v>
      </c>
      <c r="B21" t="s">
        <v>73</v>
      </c>
      <c r="C21" t="s">
        <v>74</v>
      </c>
      <c r="D21" t="s">
        <v>75</v>
      </c>
      <c r="E21" t="s">
        <v>72</v>
      </c>
      <c r="F21" t="s">
        <v>14</v>
      </c>
      <c r="G21" s="1">
        <v>0.70833333333333337</v>
      </c>
      <c r="H21" s="1">
        <v>0.91666666666666663</v>
      </c>
      <c r="I21">
        <v>650</v>
      </c>
      <c r="J21" t="s">
        <v>15</v>
      </c>
    </row>
    <row r="22" spans="1:10" x14ac:dyDescent="0.3">
      <c r="A22">
        <v>21</v>
      </c>
      <c r="B22" t="s">
        <v>76</v>
      </c>
      <c r="C22" t="s">
        <v>77</v>
      </c>
      <c r="D22" t="s">
        <v>12</v>
      </c>
      <c r="E22" t="s">
        <v>13</v>
      </c>
      <c r="F22" t="s">
        <v>14</v>
      </c>
      <c r="G22" s="1">
        <v>0.1875</v>
      </c>
      <c r="H22" s="1">
        <v>0.33333333333333331</v>
      </c>
      <c r="I22">
        <v>400</v>
      </c>
      <c r="J22" t="s">
        <v>20</v>
      </c>
    </row>
    <row r="23" spans="1:10" x14ac:dyDescent="0.3">
      <c r="A23">
        <v>22</v>
      </c>
      <c r="B23" t="s">
        <v>78</v>
      </c>
      <c r="C23" t="s">
        <v>79</v>
      </c>
      <c r="D23" t="s">
        <v>80</v>
      </c>
      <c r="E23" t="s">
        <v>24</v>
      </c>
      <c r="F23" t="s">
        <v>14</v>
      </c>
      <c r="G23" s="1">
        <v>0.25</v>
      </c>
      <c r="H23" s="1">
        <v>0.75</v>
      </c>
      <c r="I23">
        <v>1300</v>
      </c>
      <c r="J23" t="s">
        <v>25</v>
      </c>
    </row>
    <row r="24" spans="1:10" x14ac:dyDescent="0.3">
      <c r="A24">
        <v>23</v>
      </c>
      <c r="B24" t="s">
        <v>81</v>
      </c>
      <c r="C24" t="s">
        <v>82</v>
      </c>
      <c r="D24" t="s">
        <v>31</v>
      </c>
      <c r="E24" t="s">
        <v>14</v>
      </c>
      <c r="F24" t="s">
        <v>13</v>
      </c>
      <c r="G24" s="1">
        <v>0.5</v>
      </c>
      <c r="H24" s="1">
        <v>0.64583333333333337</v>
      </c>
      <c r="I24">
        <v>450</v>
      </c>
      <c r="J24" t="s">
        <v>15</v>
      </c>
    </row>
    <row r="25" spans="1:10" x14ac:dyDescent="0.3">
      <c r="A25">
        <v>24</v>
      </c>
      <c r="B25" t="s">
        <v>83</v>
      </c>
      <c r="C25" t="s">
        <v>84</v>
      </c>
      <c r="D25" t="s">
        <v>85</v>
      </c>
      <c r="E25" t="s">
        <v>13</v>
      </c>
      <c r="F25" t="s">
        <v>19</v>
      </c>
      <c r="G25" s="1">
        <v>0.39583333333333331</v>
      </c>
      <c r="H25" s="1">
        <v>0.5625</v>
      </c>
      <c r="I25">
        <v>550</v>
      </c>
      <c r="J25" t="s">
        <v>15</v>
      </c>
    </row>
    <row r="26" spans="1:10" x14ac:dyDescent="0.3">
      <c r="A26">
        <v>25</v>
      </c>
      <c r="B26" t="s">
        <v>86</v>
      </c>
      <c r="C26" t="s">
        <v>87</v>
      </c>
      <c r="D26" t="s">
        <v>28</v>
      </c>
      <c r="E26" t="s">
        <v>19</v>
      </c>
      <c r="F26" t="s">
        <v>13</v>
      </c>
      <c r="G26" s="1">
        <v>0.77083333333333337</v>
      </c>
      <c r="H26" s="1">
        <v>0.9375</v>
      </c>
      <c r="I26">
        <v>480</v>
      </c>
      <c r="J26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DA00-7BC1-40DE-968C-C03B001CBA19}">
  <dimension ref="B2:P56"/>
  <sheetViews>
    <sheetView tabSelected="1" workbookViewId="0">
      <selection activeCell="M18" sqref="M18"/>
    </sheetView>
  </sheetViews>
  <sheetFormatPr defaultRowHeight="14.4" x14ac:dyDescent="0.3"/>
  <cols>
    <col min="7" max="7" width="16.44140625" customWidth="1"/>
    <col min="9" max="9" width="13.6640625" bestFit="1" customWidth="1"/>
    <col min="10" max="10" width="12.33203125" bestFit="1" customWidth="1"/>
    <col min="14" max="14" width="11.33203125" bestFit="1" customWidth="1"/>
    <col min="15" max="15" width="11" bestFit="1" customWidth="1"/>
  </cols>
  <sheetData>
    <row r="2" spans="2:16" x14ac:dyDescent="0.3">
      <c r="B2" s="3"/>
      <c r="H2" s="5" t="s">
        <v>0</v>
      </c>
      <c r="I2" s="5" t="s">
        <v>2</v>
      </c>
      <c r="M2">
        <v>11</v>
      </c>
      <c r="N2" s="5" t="s">
        <v>1</v>
      </c>
      <c r="O2" s="5" t="s">
        <v>2</v>
      </c>
    </row>
    <row r="3" spans="2:16" x14ac:dyDescent="0.3">
      <c r="B3" s="3" t="s">
        <v>88</v>
      </c>
      <c r="H3" s="6">
        <v>12</v>
      </c>
      <c r="I3" s="6" t="str">
        <f>VLOOKUP(H3,BusInfo[],3,0)</f>
        <v>Amit Joshi</v>
      </c>
      <c r="N3" s="6" t="s">
        <v>16</v>
      </c>
      <c r="O3" s="6" t="str">
        <f>VLOOKUP(N3,BusInfo[[BusNumber]:[BusType]],2,0)</f>
        <v>Amit Sharma</v>
      </c>
    </row>
    <row r="4" spans="2:16" x14ac:dyDescent="0.3">
      <c r="B4" s="3"/>
    </row>
    <row r="5" spans="2:16" x14ac:dyDescent="0.3">
      <c r="B5" s="3" t="s">
        <v>89</v>
      </c>
      <c r="H5" s="5" t="s">
        <v>0</v>
      </c>
      <c r="I5" s="5" t="s">
        <v>3</v>
      </c>
      <c r="N5" s="5" t="s">
        <v>1</v>
      </c>
      <c r="O5" s="5" t="s">
        <v>3</v>
      </c>
    </row>
    <row r="6" spans="2:16" x14ac:dyDescent="0.3">
      <c r="B6" s="3"/>
      <c r="H6" s="6">
        <v>5</v>
      </c>
      <c r="I6" s="6" t="str">
        <f>VLOOKUP(H6,BusInfo[],4,0)</f>
        <v>Mumbai-Pune</v>
      </c>
      <c r="N6" s="6" t="s">
        <v>73</v>
      </c>
      <c r="O6" s="6" t="str">
        <f>VLOOKUP(N6,BusInfo[[BusNumber]:[BusType]],3,0)</f>
        <v>Satara-Mumbai</v>
      </c>
    </row>
    <row r="7" spans="2:16" x14ac:dyDescent="0.3">
      <c r="B7" s="3" t="s">
        <v>90</v>
      </c>
    </row>
    <row r="8" spans="2:16" x14ac:dyDescent="0.3">
      <c r="B8" s="3"/>
      <c r="H8" s="5" t="s">
        <v>0</v>
      </c>
      <c r="I8" s="5" t="s">
        <v>8</v>
      </c>
      <c r="N8" s="5" t="s">
        <v>1</v>
      </c>
      <c r="O8" s="5" t="s">
        <v>8</v>
      </c>
    </row>
    <row r="9" spans="2:16" x14ac:dyDescent="0.3">
      <c r="B9" s="3" t="s">
        <v>91</v>
      </c>
      <c r="H9" s="6">
        <v>22</v>
      </c>
      <c r="I9" s="6">
        <f>VLOOKUP(H9,BusInfo[],9,0)</f>
        <v>1300</v>
      </c>
      <c r="N9" s="6" t="s">
        <v>39</v>
      </c>
      <c r="O9" s="6">
        <f>VLOOKUP(N9,BusInfo[[BusNumber]:[BusType]],8,0)</f>
        <v>1200</v>
      </c>
    </row>
    <row r="10" spans="2:16" x14ac:dyDescent="0.3">
      <c r="B10" s="3"/>
    </row>
    <row r="11" spans="2:16" x14ac:dyDescent="0.3">
      <c r="B11" s="3" t="s">
        <v>92</v>
      </c>
      <c r="H11" s="5" t="s">
        <v>114</v>
      </c>
      <c r="I11" s="5" t="s">
        <v>9</v>
      </c>
      <c r="N11" s="5" t="s">
        <v>116</v>
      </c>
      <c r="O11" s="5" t="s">
        <v>4</v>
      </c>
    </row>
    <row r="12" spans="2:16" x14ac:dyDescent="0.3">
      <c r="B12" s="3"/>
      <c r="H12" s="6">
        <v>3</v>
      </c>
      <c r="I12" s="6" t="str">
        <f>VLOOKUP(H12,BusInfo[],10)</f>
        <v>Sleeper</v>
      </c>
      <c r="N12" s="6" t="s">
        <v>65</v>
      </c>
      <c r="O12" s="6" t="str">
        <f>VLOOKUP(N12,BusInfo[[BusNumber]:[BusType]],4,0)</f>
        <v>Mumbai</v>
      </c>
    </row>
    <row r="13" spans="2:16" x14ac:dyDescent="0.3">
      <c r="B13" s="3" t="s">
        <v>93</v>
      </c>
    </row>
    <row r="14" spans="2:16" x14ac:dyDescent="0.3">
      <c r="B14" s="3"/>
      <c r="H14" s="5" t="s">
        <v>0</v>
      </c>
      <c r="I14" s="5" t="s">
        <v>6</v>
      </c>
      <c r="K14" s="4"/>
      <c r="N14" s="5" t="s">
        <v>117</v>
      </c>
      <c r="O14" s="5" t="s">
        <v>5</v>
      </c>
      <c r="P14" s="5" t="s">
        <v>118</v>
      </c>
    </row>
    <row r="15" spans="2:16" x14ac:dyDescent="0.3">
      <c r="B15" s="3" t="s">
        <v>94</v>
      </c>
      <c r="H15" s="6">
        <v>15</v>
      </c>
      <c r="I15" s="6">
        <f>VLOOKUP(H15,BusInfo[],7,0)</f>
        <v>0.91666666666666663</v>
      </c>
      <c r="N15" s="6" t="s">
        <v>81</v>
      </c>
      <c r="O15" s="6" t="str">
        <f>VLOOKUP(N15,BusInfo[[BusNumber]:[BusType]],5,0)</f>
        <v>Pune</v>
      </c>
      <c r="P15" s="6" t="str">
        <f>VLOOKUP(N15,BusInfo[[BusNumber]:[BusType]],9,0)</f>
        <v>AC</v>
      </c>
    </row>
    <row r="16" spans="2:16" x14ac:dyDescent="0.3">
      <c r="B16" s="3"/>
    </row>
    <row r="17" spans="2:10" x14ac:dyDescent="0.3">
      <c r="B17" s="3" t="s">
        <v>95</v>
      </c>
      <c r="H17" s="5" t="s">
        <v>114</v>
      </c>
      <c r="I17" s="5" t="s">
        <v>7</v>
      </c>
    </row>
    <row r="18" spans="2:10" x14ac:dyDescent="0.3">
      <c r="B18" s="3"/>
      <c r="H18" s="6">
        <v>10</v>
      </c>
      <c r="I18" s="6">
        <f>VLOOKUP(H18,BusInfo[],8,0)</f>
        <v>0.54166666666666663</v>
      </c>
    </row>
    <row r="19" spans="2:10" x14ac:dyDescent="0.3">
      <c r="B19" s="3" t="s">
        <v>96</v>
      </c>
    </row>
    <row r="20" spans="2:10" x14ac:dyDescent="0.3">
      <c r="B20" s="3"/>
      <c r="H20" s="5" t="s">
        <v>0</v>
      </c>
      <c r="I20" s="5" t="s">
        <v>4</v>
      </c>
      <c r="J20" s="5" t="s">
        <v>5</v>
      </c>
    </row>
    <row r="21" spans="2:10" x14ac:dyDescent="0.3">
      <c r="B21" s="3" t="s">
        <v>97</v>
      </c>
      <c r="H21" s="6">
        <v>24</v>
      </c>
      <c r="I21" s="6" t="str">
        <f>VLOOKUP(H21,BusInfo[],5,0)</f>
        <v>Pune</v>
      </c>
      <c r="J21" s="6" t="str">
        <f>VLOOKUP(Sheet2!H21,BusInfo[],6,0)</f>
        <v>Nashik</v>
      </c>
    </row>
    <row r="23" spans="2:10" x14ac:dyDescent="0.3">
      <c r="B23" s="3"/>
      <c r="H23" s="5" t="s">
        <v>114</v>
      </c>
      <c r="I23" s="5" t="s">
        <v>1</v>
      </c>
    </row>
    <row r="24" spans="2:10" x14ac:dyDescent="0.3">
      <c r="B24" s="3" t="s">
        <v>98</v>
      </c>
      <c r="H24" s="6">
        <v>8</v>
      </c>
      <c r="I24" s="6" t="str">
        <f>VLOOKUP(Sheet2!H24,BusInfo[],2,0)</f>
        <v>MH10OP808</v>
      </c>
    </row>
    <row r="25" spans="2:10" x14ac:dyDescent="0.3">
      <c r="B25" s="3"/>
    </row>
    <row r="26" spans="2:10" x14ac:dyDescent="0.3">
      <c r="B26" s="3" t="s">
        <v>99</v>
      </c>
      <c r="H26" s="5" t="s">
        <v>0</v>
      </c>
      <c r="I26" s="5" t="s">
        <v>8</v>
      </c>
      <c r="J26" s="5" t="s">
        <v>115</v>
      </c>
    </row>
    <row r="27" spans="2:10" x14ac:dyDescent="0.3">
      <c r="B27" s="3"/>
      <c r="H27" s="6">
        <v>21</v>
      </c>
      <c r="I27" s="6">
        <f>VLOOKUP(H27,BusInfo[],9,0)</f>
        <v>400</v>
      </c>
      <c r="J27" s="6" t="str">
        <f>VLOOKUP(H27,BusInfo[],10,0)</f>
        <v>Non-AC</v>
      </c>
    </row>
    <row r="28" spans="2:10" x14ac:dyDescent="0.3">
      <c r="B28" s="3" t="s">
        <v>100</v>
      </c>
    </row>
    <row r="29" spans="2:10" x14ac:dyDescent="0.3">
      <c r="B29" s="3"/>
      <c r="H29" s="5" t="s">
        <v>0</v>
      </c>
      <c r="I29" s="5" t="s">
        <v>2</v>
      </c>
      <c r="J29" s="5" t="s">
        <v>3</v>
      </c>
    </row>
    <row r="30" spans="2:10" x14ac:dyDescent="0.3">
      <c r="B30" s="3" t="s">
        <v>101</v>
      </c>
      <c r="H30" s="6">
        <v>18</v>
      </c>
      <c r="I30" s="6" t="str">
        <f>VLOOKUP(H30,BusInfo[],3,0)</f>
        <v>Sayali Dhore</v>
      </c>
      <c r="J30" s="6" t="str">
        <f>VLOOKUP(H30,BusInfo[],4,0)</f>
        <v>Pune-Mumbai</v>
      </c>
    </row>
    <row r="31" spans="2:10" x14ac:dyDescent="0.3">
      <c r="B31" s="3"/>
    </row>
    <row r="32" spans="2:10" x14ac:dyDescent="0.3">
      <c r="B32" s="3" t="s">
        <v>102</v>
      </c>
    </row>
    <row r="36" spans="2:13" ht="31.2" x14ac:dyDescent="0.3">
      <c r="B36" s="2" t="s">
        <v>113</v>
      </c>
    </row>
    <row r="37" spans="2:13" x14ac:dyDescent="0.3">
      <c r="B37" s="3"/>
    </row>
    <row r="38" spans="2:13" x14ac:dyDescent="0.3">
      <c r="B38" s="3" t="s">
        <v>103</v>
      </c>
      <c r="J38" s="7" t="s">
        <v>122</v>
      </c>
      <c r="K38" s="7" t="s">
        <v>119</v>
      </c>
      <c r="L38" s="7" t="s">
        <v>120</v>
      </c>
      <c r="M38" s="7" t="s">
        <v>121</v>
      </c>
    </row>
    <row r="39" spans="2:13" x14ac:dyDescent="0.3">
      <c r="B39" s="3"/>
    </row>
    <row r="40" spans="2:13" x14ac:dyDescent="0.3">
      <c r="B40" s="3" t="s">
        <v>104</v>
      </c>
    </row>
    <row r="41" spans="2:13" x14ac:dyDescent="0.3">
      <c r="B41" s="3"/>
    </row>
    <row r="42" spans="2:13" x14ac:dyDescent="0.3">
      <c r="B42" s="3" t="s">
        <v>105</v>
      </c>
    </row>
    <row r="43" spans="2:13" x14ac:dyDescent="0.3">
      <c r="B43" s="3"/>
    </row>
    <row r="44" spans="2:13" x14ac:dyDescent="0.3">
      <c r="B44" s="3" t="s">
        <v>106</v>
      </c>
    </row>
    <row r="45" spans="2:13" x14ac:dyDescent="0.3">
      <c r="B45" s="3"/>
    </row>
    <row r="46" spans="2:13" x14ac:dyDescent="0.3">
      <c r="B46" s="3" t="s">
        <v>107</v>
      </c>
    </row>
    <row r="47" spans="2:13" x14ac:dyDescent="0.3">
      <c r="B47" s="3"/>
    </row>
    <row r="48" spans="2:13" x14ac:dyDescent="0.3">
      <c r="B48" s="3" t="s">
        <v>108</v>
      </c>
    </row>
    <row r="49" spans="2:2" x14ac:dyDescent="0.3">
      <c r="B49" s="3"/>
    </row>
    <row r="50" spans="2:2" x14ac:dyDescent="0.3">
      <c r="B50" s="3" t="s">
        <v>109</v>
      </c>
    </row>
    <row r="51" spans="2:2" x14ac:dyDescent="0.3">
      <c r="B51" s="3"/>
    </row>
    <row r="52" spans="2:2" x14ac:dyDescent="0.3">
      <c r="B52" s="3" t="s">
        <v>110</v>
      </c>
    </row>
    <row r="53" spans="2:2" x14ac:dyDescent="0.3">
      <c r="B53" s="3"/>
    </row>
    <row r="54" spans="2:2" x14ac:dyDescent="0.3">
      <c r="B54" s="3" t="s">
        <v>111</v>
      </c>
    </row>
    <row r="55" spans="2:2" x14ac:dyDescent="0.3">
      <c r="B55" s="3"/>
    </row>
    <row r="56" spans="2:2" x14ac:dyDescent="0.3">
      <c r="B56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2026-02-18T19:04:33Z</dcterms:created>
  <dcterms:modified xsi:type="dcterms:W3CDTF">2026-02-21T05:54:53Z</dcterms:modified>
</cp:coreProperties>
</file>